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srvfile01\Users\bobby.blaney\Downloads\"/>
    </mc:Choice>
  </mc:AlternateContent>
  <xr:revisionPtr revIDLastSave="0" documentId="13_ncr:1_{D8298577-4561-4939-AADD-8947DCDE8CDC}" xr6:coauthVersionLast="47" xr6:coauthVersionMax="47" xr10:uidLastSave="{00000000-0000-0000-0000-000000000000}"/>
  <workbookProtection lockStructure="1"/>
  <bookViews>
    <workbookView xWindow="-120" yWindow="-120" windowWidth="29040" windowHeight="15840" xr2:uid="{00000000-000D-0000-FFFF-FFFF00000000}"/>
  </bookViews>
  <sheets>
    <sheet name="Sweepstake Draw" sheetId="4" r:id="rId1"/>
    <sheet name="Group Stage" sheetId="1" r:id="rId2"/>
    <sheet name="Knockouts" sheetId="2" r:id="rId3"/>
    <sheet name="Teams &amp; Odds" sheetId="3" r:id="rId4"/>
    <sheet name="Participant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56" i="1" l="1"/>
  <c r="Q2" i="4"/>
  <c r="E11" i="1"/>
  <c r="E10" i="1"/>
  <c r="E9" i="1"/>
  <c r="E8" i="1"/>
  <c r="J2" i="1" a="1"/>
  <c r="J2" i="1"/>
  <c r="K10" i="1"/>
  <c r="E71" i="1"/>
  <c r="E70" i="1"/>
  <c r="E69" i="1"/>
  <c r="E68" i="1"/>
  <c r="K70" i="1" s="1"/>
  <c r="E65" i="1"/>
  <c r="E64" i="1"/>
  <c r="E63" i="1"/>
  <c r="E62" i="1"/>
  <c r="K64" i="1" s="1"/>
  <c r="E59" i="1"/>
  <c r="E58" i="1"/>
  <c r="E57" i="1"/>
  <c r="K58" i="1"/>
  <c r="E53" i="1"/>
  <c r="E52" i="1"/>
  <c r="E51" i="1"/>
  <c r="E50" i="1"/>
  <c r="K52" i="1" s="1"/>
  <c r="E47" i="1"/>
  <c r="E46" i="1"/>
  <c r="E45" i="1"/>
  <c r="E44" i="1"/>
  <c r="K46" i="1" s="1"/>
  <c r="E41" i="1"/>
  <c r="E40" i="1"/>
  <c r="E39" i="1"/>
  <c r="E38" i="1"/>
  <c r="K40" i="1" s="1"/>
  <c r="E35" i="1"/>
  <c r="E34" i="1"/>
  <c r="E33" i="1"/>
  <c r="E32" i="1"/>
  <c r="K34" i="1" s="1"/>
  <c r="E29" i="1"/>
  <c r="E28" i="1"/>
  <c r="E27" i="1"/>
  <c r="E26" i="1"/>
  <c r="K28" i="1" s="1"/>
  <c r="E23" i="1"/>
  <c r="E22" i="1"/>
  <c r="E21" i="1"/>
  <c r="E20" i="1"/>
  <c r="K22" i="1" s="1"/>
  <c r="E17" i="1"/>
  <c r="E16" i="1"/>
  <c r="E15" i="1"/>
  <c r="E14" i="1"/>
  <c r="K16" i="1" s="1"/>
  <c r="E3" i="1"/>
  <c r="E4" i="1"/>
  <c r="E5" i="1"/>
  <c r="E2" i="1"/>
  <c r="K4" i="1" s="1"/>
  <c r="J70" i="1" a="1"/>
  <c r="J70" i="1" s="1"/>
  <c r="J64" i="1" a="1"/>
  <c r="J64" i="1" s="1"/>
  <c r="J58" i="1" a="1"/>
  <c r="J58" i="1" s="1"/>
  <c r="J52" i="1" a="1"/>
  <c r="J52" i="1" s="1"/>
  <c r="J46" i="1" a="1"/>
  <c r="J46" i="1" s="1"/>
  <c r="J40" i="1" a="1"/>
  <c r="J40" i="1" s="1"/>
  <c r="J34" i="1" a="1"/>
  <c r="J34" i="1" s="1"/>
  <c r="J28" i="1" a="1"/>
  <c r="J28" i="1" s="1"/>
  <c r="J22" i="1" a="1"/>
  <c r="J22" i="1" s="1"/>
  <c r="J16" i="1" a="1"/>
  <c r="J16" i="1" s="1"/>
  <c r="J10" i="1" a="1"/>
  <c r="J10" i="1" s="1"/>
  <c r="J4" i="1" a="1"/>
  <c r="J4" i="1"/>
  <c r="J69" i="1" a="1"/>
  <c r="J69" i="1" s="1"/>
  <c r="J68" i="1" a="1"/>
  <c r="J68" i="1" s="1"/>
  <c r="J63" i="1" a="1"/>
  <c r="J63" i="1" s="1"/>
  <c r="J62" i="1" a="1"/>
  <c r="J62" i="1" s="1"/>
  <c r="J57" i="1" a="1"/>
  <c r="J57" i="1" s="1"/>
  <c r="J56" i="1" a="1"/>
  <c r="J56" i="1" s="1"/>
  <c r="J51" i="1" a="1"/>
  <c r="J51" i="1" s="1"/>
  <c r="J50" i="1" a="1"/>
  <c r="J50" i="1" s="1"/>
  <c r="J45" i="1" a="1"/>
  <c r="J45" i="1" s="1"/>
  <c r="J44" i="1" a="1"/>
  <c r="J44" i="1" s="1"/>
  <c r="J39" i="1" a="1"/>
  <c r="J39" i="1" s="1"/>
  <c r="J38" i="1" a="1"/>
  <c r="J38" i="1" s="1"/>
  <c r="J33" i="1" a="1"/>
  <c r="J33" i="1" s="1"/>
  <c r="J32" i="1" a="1"/>
  <c r="J32" i="1" s="1"/>
  <c r="J27" i="1" a="1"/>
  <c r="J27" i="1" s="1"/>
  <c r="J26" i="1" a="1"/>
  <c r="J26" i="1" s="1"/>
  <c r="J21" i="1" a="1"/>
  <c r="J21" i="1" s="1"/>
  <c r="J20" i="1" a="1"/>
  <c r="J20" i="1" s="1"/>
  <c r="J15" i="1" a="1"/>
  <c r="J15" i="1" s="1"/>
  <c r="J14" i="1" a="1"/>
  <c r="J14" i="1" s="1"/>
  <c r="J9" i="1" a="1"/>
  <c r="J9" i="1" s="1"/>
  <c r="J8" i="1" a="1"/>
  <c r="J8" i="1" s="1"/>
  <c r="J3" i="1" a="1"/>
  <c r="J3" i="1" s="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2" i="3"/>
  <c r="N6" i="4" l="1"/>
  <c r="N5" i="4"/>
  <c r="N4" i="4"/>
  <c r="N3" i="4"/>
  <c r="N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futureMetadata>
  <cellMetadata count="1">
    <bk>
      <rc t="1" v="0"/>
    </bk>
  </cellMetadata>
  <valueMetadata count="4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valueMetadata>
</metadata>
</file>

<file path=xl/sharedStrings.xml><?xml version="1.0" encoding="utf-8"?>
<sst xmlns="http://schemas.openxmlformats.org/spreadsheetml/2006/main" count="347" uniqueCount="182">
  <si>
    <t>Sweepstake 1</t>
  </si>
  <si>
    <t>Sweepstake 2</t>
  </si>
  <si>
    <t>Sweepstake 3</t>
  </si>
  <si>
    <t>Prizes</t>
  </si>
  <si>
    <t>Entry Fee</t>
  </si>
  <si>
    <t>Sweepstakes Active</t>
  </si>
  <si>
    <t>Participant Name</t>
  </si>
  <si>
    <t xml:space="preserve">Team1 </t>
  </si>
  <si>
    <t>Team 2</t>
  </si>
  <si>
    <t>World Cup Winner</t>
  </si>
  <si>
    <t>Total Prize Pot</t>
  </si>
  <si>
    <t>Runner Up</t>
  </si>
  <si>
    <t>Top Goal Scorer</t>
  </si>
  <si>
    <t>Worst of the Groups</t>
  </si>
  <si>
    <t>Biggest Defeat</t>
  </si>
  <si>
    <t>Draw Rules &amp; Explanation</t>
  </si>
  <si>
    <t>Teams are split into a top half and bottom half based on their chances of winning.
Each person gets one team from each half, chosen at random.
If there are more than 24 people, we’ll run multiple groups (for example, Sweepstake 1 and Sweepstake 2), shared out evenly.
If not all places are filled, some teams will be removed to keep things balanced.
The total prize fund is shared equally across all groups.
If an undrawn team wins a category, the next placed team will count instead.</t>
  </si>
  <si>
    <t>Prize Criteria</t>
  </si>
  <si>
    <r>
      <rPr>
        <b/>
        <sz val="11"/>
        <color rgb="FF000000"/>
        <rFont val="Calibri"/>
        <scheme val="minor"/>
      </rPr>
      <t>World Cup Winner</t>
    </r>
    <r>
      <rPr>
        <sz val="11"/>
        <color rgb="FF000000"/>
        <rFont val="Calibri"/>
        <scheme val="minor"/>
      </rPr>
      <t xml:space="preserve"> = Winner of the World Cup
</t>
    </r>
    <r>
      <rPr>
        <b/>
        <sz val="11"/>
        <color rgb="FF000000"/>
        <rFont val="Calibri"/>
        <scheme val="minor"/>
      </rPr>
      <t xml:space="preserve">Runner Up </t>
    </r>
    <r>
      <rPr>
        <sz val="11"/>
        <color rgb="FF000000"/>
        <rFont val="Calibri"/>
        <scheme val="minor"/>
      </rPr>
      <t xml:space="preserve">= Loser of the World cup Final
</t>
    </r>
    <r>
      <rPr>
        <b/>
        <sz val="11"/>
        <color rgb="FF000000"/>
        <rFont val="Calibri"/>
        <scheme val="minor"/>
      </rPr>
      <t>Top Goal Scorer</t>
    </r>
    <r>
      <rPr>
        <sz val="11"/>
        <color rgb="FF000000"/>
        <rFont val="Calibri"/>
        <scheme val="minor"/>
      </rPr>
      <t xml:space="preserve"> = The team holding the player with the most goals scored in the tournament
</t>
    </r>
    <r>
      <rPr>
        <b/>
        <sz val="11"/>
        <color rgb="FF000000"/>
        <rFont val="Calibri"/>
        <scheme val="minor"/>
      </rPr>
      <t>Worst of the Groups</t>
    </r>
    <r>
      <rPr>
        <sz val="11"/>
        <color rgb="FF000000"/>
        <rFont val="Calibri"/>
        <scheme val="minor"/>
      </rPr>
      <t xml:space="preserve"> = The team with the lowest points from the group stage. if a tie, this will be decided by goal difference
</t>
    </r>
    <r>
      <rPr>
        <b/>
        <sz val="11"/>
        <color rgb="FF000000"/>
        <rFont val="Calibri"/>
        <scheme val="minor"/>
      </rPr>
      <t>Biggest Defeat</t>
    </r>
    <r>
      <rPr>
        <sz val="11"/>
        <color rgb="FF000000"/>
        <rFont val="Calibri"/>
        <scheme val="minor"/>
      </rPr>
      <t xml:space="preserve"> = The team that suffered the single biggest loss across the whole tournament</t>
    </r>
  </si>
  <si>
    <t>Group A</t>
  </si>
  <si>
    <t>Game 1</t>
  </si>
  <si>
    <t>Game 2</t>
  </si>
  <si>
    <t>Game 3</t>
  </si>
  <si>
    <t>Points</t>
  </si>
  <si>
    <t>Goal Difference</t>
  </si>
  <si>
    <t>GD</t>
  </si>
  <si>
    <t>Mexico</t>
  </si>
  <si>
    <t>Winner</t>
  </si>
  <si>
    <t>South Africa</t>
  </si>
  <si>
    <t>Korea</t>
  </si>
  <si>
    <t>3rd Place</t>
  </si>
  <si>
    <t>Czech Republic</t>
  </si>
  <si>
    <t>Group B</t>
  </si>
  <si>
    <t>Canada</t>
  </si>
  <si>
    <t>Bosnia &amp; Herzegovina</t>
  </si>
  <si>
    <t>Qatar</t>
  </si>
  <si>
    <t>Switzerland</t>
  </si>
  <si>
    <t>Group C</t>
  </si>
  <si>
    <t>Brasil</t>
  </si>
  <si>
    <t>Morocco</t>
  </si>
  <si>
    <t>Haiti</t>
  </si>
  <si>
    <t>Scotland</t>
  </si>
  <si>
    <t>Group D</t>
  </si>
  <si>
    <t>USA</t>
  </si>
  <si>
    <t>Paraguay</t>
  </si>
  <si>
    <t>Australia</t>
  </si>
  <si>
    <t>Turkey</t>
  </si>
  <si>
    <t>Group E</t>
  </si>
  <si>
    <t>Germany</t>
  </si>
  <si>
    <t>Curacao</t>
  </si>
  <si>
    <t>Ivory Coast</t>
  </si>
  <si>
    <t>Ecuador</t>
  </si>
  <si>
    <t>Group F</t>
  </si>
  <si>
    <t>Netherlands</t>
  </si>
  <si>
    <t>Japan</t>
  </si>
  <si>
    <t>Sweden</t>
  </si>
  <si>
    <t>Tunisia</t>
  </si>
  <si>
    <t>Group G</t>
  </si>
  <si>
    <t>Belgium</t>
  </si>
  <si>
    <t>Egypt</t>
  </si>
  <si>
    <t>Iran</t>
  </si>
  <si>
    <t>New Zealand</t>
  </si>
  <si>
    <t>Group H</t>
  </si>
  <si>
    <t>Spain</t>
  </si>
  <si>
    <t>Cape Verde</t>
  </si>
  <si>
    <t>Saudi Arabia</t>
  </si>
  <si>
    <t>Uruguay</t>
  </si>
  <si>
    <t>Group I</t>
  </si>
  <si>
    <t>France</t>
  </si>
  <si>
    <t>Senegal</t>
  </si>
  <si>
    <t>Iraq</t>
  </si>
  <si>
    <t>Norway</t>
  </si>
  <si>
    <t>Group J</t>
  </si>
  <si>
    <t>Argentina</t>
  </si>
  <si>
    <t>Algeria</t>
  </si>
  <si>
    <t>Austria</t>
  </si>
  <si>
    <t>Jordan</t>
  </si>
  <si>
    <t>Group K</t>
  </si>
  <si>
    <t>Portugal</t>
  </si>
  <si>
    <t>Congo DR</t>
  </si>
  <si>
    <t>Uzbekistan</t>
  </si>
  <si>
    <t>Colombia</t>
  </si>
  <si>
    <t>Group L</t>
  </si>
  <si>
    <t>England</t>
  </si>
  <si>
    <t>Croatia</t>
  </si>
  <si>
    <t>Ghana</t>
  </si>
  <si>
    <t>Panama</t>
  </si>
  <si>
    <t>1E</t>
  </si>
  <si>
    <t>1C</t>
  </si>
  <si>
    <t>3ABCDF</t>
  </si>
  <si>
    <t>2F</t>
  </si>
  <si>
    <t>1I</t>
  </si>
  <si>
    <t>2E</t>
  </si>
  <si>
    <t>3CDFGH</t>
  </si>
  <si>
    <t>2I</t>
  </si>
  <si>
    <t>2A</t>
  </si>
  <si>
    <t>1A</t>
  </si>
  <si>
    <t>2B</t>
  </si>
  <si>
    <t>3CEFHI</t>
  </si>
  <si>
    <t>1F</t>
  </si>
  <si>
    <t>1L</t>
  </si>
  <si>
    <t>2C</t>
  </si>
  <si>
    <t>3EHIJK</t>
  </si>
  <si>
    <t>VS</t>
  </si>
  <si>
    <t>2K</t>
  </si>
  <si>
    <t>1J</t>
  </si>
  <si>
    <t>2L</t>
  </si>
  <si>
    <t>2H</t>
  </si>
  <si>
    <t>1H</t>
  </si>
  <si>
    <t>2D</t>
  </si>
  <si>
    <t>2J</t>
  </si>
  <si>
    <t>2G</t>
  </si>
  <si>
    <t>1D</t>
  </si>
  <si>
    <t>1B</t>
  </si>
  <si>
    <t>3BEFIJ</t>
  </si>
  <si>
    <t>3EFGIJ</t>
  </si>
  <si>
    <t>1G</t>
  </si>
  <si>
    <t>1K</t>
  </si>
  <si>
    <t>3AEHIJ</t>
  </si>
  <si>
    <t>3DEIJL</t>
  </si>
  <si>
    <t>Team</t>
  </si>
  <si>
    <t>Country Code</t>
  </si>
  <si>
    <t>Flag</t>
  </si>
  <si>
    <t>Odds</t>
  </si>
  <si>
    <t>ES</t>
  </si>
  <si>
    <t>FR</t>
  </si>
  <si>
    <t>GB-ENG</t>
  </si>
  <si>
    <t>AR</t>
  </si>
  <si>
    <t>Brazil</t>
  </si>
  <si>
    <t>BR</t>
  </si>
  <si>
    <t>DE</t>
  </si>
  <si>
    <t>PT</t>
  </si>
  <si>
    <t>NL</t>
  </si>
  <si>
    <t>NO</t>
  </si>
  <si>
    <t>BE</t>
  </si>
  <si>
    <t>CO</t>
  </si>
  <si>
    <t>JP</t>
  </si>
  <si>
    <t>MA</t>
  </si>
  <si>
    <t>UY</t>
  </si>
  <si>
    <t>US</t>
  </si>
  <si>
    <t>AT</t>
  </si>
  <si>
    <t>CA</t>
  </si>
  <si>
    <t>HR</t>
  </si>
  <si>
    <t>MX</t>
  </si>
  <si>
    <t>CH</t>
  </si>
  <si>
    <t>TR</t>
  </si>
  <si>
    <t>EC</t>
  </si>
  <si>
    <t>SN</t>
  </si>
  <si>
    <t>AU</t>
  </si>
  <si>
    <t>EG</t>
  </si>
  <si>
    <t>CI</t>
  </si>
  <si>
    <t>PY</t>
  </si>
  <si>
    <t>GB-SCT</t>
  </si>
  <si>
    <t>South Korea</t>
  </si>
  <si>
    <t>KR</t>
  </si>
  <si>
    <t>SE</t>
  </si>
  <si>
    <t>CZ</t>
  </si>
  <si>
    <t>GH</t>
  </si>
  <si>
    <t>DZ</t>
  </si>
  <si>
    <t>Bosnia and Herzegovina</t>
  </si>
  <si>
    <t>BA</t>
  </si>
  <si>
    <t>IR</t>
  </si>
  <si>
    <t>QA</t>
  </si>
  <si>
    <t>TN</t>
  </si>
  <si>
    <t>CV</t>
  </si>
  <si>
    <t>DR Congo</t>
  </si>
  <si>
    <t>CD</t>
  </si>
  <si>
    <t>IQ</t>
  </si>
  <si>
    <t>JO</t>
  </si>
  <si>
    <t>NZ</t>
  </si>
  <si>
    <t>PA</t>
  </si>
  <si>
    <t>SA</t>
  </si>
  <si>
    <t>ZA</t>
  </si>
  <si>
    <t>UZ</t>
  </si>
  <si>
    <t>CW</t>
  </si>
  <si>
    <t>HT</t>
  </si>
  <si>
    <t>Name</t>
  </si>
  <si>
    <t>Regular Office</t>
  </si>
  <si>
    <t>Paid</t>
  </si>
  <si>
    <t>Final</t>
  </si>
  <si>
    <t>Instructions</t>
  </si>
  <si>
    <r>
      <t xml:space="preserve">
Using the group tables, add in the points each team gained for each of their games
</t>
    </r>
    <r>
      <rPr>
        <b/>
        <sz val="11"/>
        <color rgb="FF000000"/>
        <rFont val="Calibri"/>
        <family val="2"/>
        <scheme val="minor"/>
      </rPr>
      <t>Win = 3    Draw = 1    Loss = 0</t>
    </r>
    <r>
      <rPr>
        <sz val="11"/>
        <color rgb="FF000000"/>
        <rFont val="Calibri"/>
        <family val="2"/>
        <scheme val="minor"/>
      </rPr>
      <t xml:space="preserve">
Goal difference will need to be manually added, and can be found in the live group tables.
Biggest defeat is to record each teams biggest loss, to identify the bogey prize winner for this category.
Winners for each group, Runner up and 3rd place will all auto populate to help you fill in the Knockouts 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</si>
</sst>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65" formatCode="&quot;£&quot;#,##0.0;[Red]\-&quot;£&quot;#,##0.0"/>
  </numFmts>
  <fonts count="6" x14ac:knownFonts="1">
    <font>
      <sz val="11"/>
      <color theme="1"/>
      <name val="Calibri"/>
      <family val="2"/>
      <scheme val="minor"/>
    </font>
    <font>
      <sz val="11"/>
      <color rgb="FF000000"/>
      <name val="Aptos Narrow"/>
      <family val="2"/>
    </font>
    <font>
      <b/>
      <sz val="11"/>
      <color rgb="FF000000"/>
      <name val="Calibri"/>
      <scheme val="minor"/>
    </font>
    <font>
      <sz val="11"/>
      <color rgb="FF000000"/>
      <name val="Calibri"/>
      <scheme val="minor"/>
    </font>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58">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style="medium">
        <color rgb="FF000000"/>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91">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Alignment="1">
      <alignment horizontal="center"/>
    </xf>
    <xf numFmtId="0" fontId="0" fillId="0" borderId="21" xfId="0" applyBorder="1"/>
    <xf numFmtId="0" fontId="0" fillId="0" borderId="26" xfId="0" applyBorder="1"/>
    <xf numFmtId="0" fontId="1" fillId="0" borderId="1" xfId="0" applyFont="1" applyBorder="1"/>
    <xf numFmtId="0" fontId="1" fillId="0" borderId="9" xfId="0" applyFont="1" applyBorder="1"/>
    <xf numFmtId="0" fontId="1" fillId="0" borderId="10" xfId="0" applyFont="1" applyBorder="1"/>
    <xf numFmtId="0" fontId="1" fillId="0" borderId="13" xfId="0" applyFont="1" applyBorder="1"/>
    <xf numFmtId="6" fontId="0" fillId="0" borderId="26" xfId="0" applyNumberFormat="1" applyBorder="1"/>
    <xf numFmtId="6" fontId="0" fillId="0" borderId="6" xfId="0" applyNumberFormat="1" applyBorder="1"/>
    <xf numFmtId="0" fontId="0" fillId="0" borderId="25" xfId="0" applyBorder="1"/>
    <xf numFmtId="0" fontId="0" fillId="0" borderId="31" xfId="0" applyBorder="1"/>
    <xf numFmtId="165" fontId="0" fillId="0" borderId="14" xfId="0" applyNumberFormat="1" applyBorder="1"/>
    <xf numFmtId="165" fontId="0" fillId="0" borderId="31" xfId="0" applyNumberFormat="1" applyBorder="1"/>
    <xf numFmtId="0" fontId="0" fillId="2" borderId="33" xfId="0" applyFill="1" applyBorder="1"/>
    <xf numFmtId="0" fontId="0" fillId="2" borderId="34" xfId="0" applyFill="1" applyBorder="1"/>
    <xf numFmtId="0" fontId="0" fillId="0" borderId="33" xfId="0" applyBorder="1"/>
    <xf numFmtId="0" fontId="0" fillId="0" borderId="34" xfId="0" applyBorder="1"/>
    <xf numFmtId="0" fontId="0" fillId="0" borderId="0" xfId="0">
      <extLst>
        <ext xmlns:xfpb="http://schemas.microsoft.com/office/spreadsheetml/2022/featurepropertybag" uri="{C7286773-470A-42A8-94C5-96B5CB345126}">
          <xfpb:xfComplement i="0"/>
        </ext>
      </extLst>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3" fillId="0" borderId="3" xfId="0" applyFont="1" applyBorder="1" applyAlignment="1">
      <alignment horizontal="left" wrapText="1"/>
    </xf>
    <xf numFmtId="0" fontId="3" fillId="0" borderId="1" xfId="0" applyFont="1" applyBorder="1" applyAlignment="1">
      <alignment horizontal="left" wrapText="1"/>
    </xf>
    <xf numFmtId="0" fontId="3" fillId="0" borderId="4" xfId="0" applyFont="1" applyBorder="1" applyAlignment="1">
      <alignment horizontal="left" wrapText="1"/>
    </xf>
    <xf numFmtId="0" fontId="3" fillId="0" borderId="5" xfId="0" applyFont="1" applyBorder="1" applyAlignment="1">
      <alignment horizontal="left" wrapText="1"/>
    </xf>
    <xf numFmtId="0" fontId="3" fillId="0" borderId="6" xfId="0" applyFont="1" applyBorder="1" applyAlignment="1">
      <alignment horizontal="left" wrapText="1"/>
    </xf>
    <xf numFmtId="0" fontId="3" fillId="0" borderId="7" xfId="0" applyFont="1" applyBorder="1" applyAlignment="1">
      <alignment horizontal="left" wrapText="1"/>
    </xf>
    <xf numFmtId="0" fontId="0" fillId="0" borderId="2" xfId="0" applyBorder="1" applyAlignment="1">
      <alignment horizontal="left"/>
    </xf>
    <xf numFmtId="0" fontId="0" fillId="0" borderId="29" xfId="0" applyBorder="1" applyAlignment="1">
      <alignment horizontal="left"/>
    </xf>
    <xf numFmtId="0" fontId="0" fillId="0" borderId="30" xfId="0" applyBorder="1" applyAlignment="1">
      <alignment horizontal="left"/>
    </xf>
    <xf numFmtId="0" fontId="0" fillId="0" borderId="32" xfId="0" applyBorder="1" applyAlignment="1">
      <alignment horizontal="center"/>
    </xf>
    <xf numFmtId="0" fontId="0" fillId="0" borderId="21"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2" fontId="1" fillId="0" borderId="11" xfId="0" applyNumberFormat="1" applyFont="1" applyBorder="1"/>
    <xf numFmtId="2" fontId="1" fillId="0" borderId="13" xfId="0" applyNumberFormat="1" applyFont="1" applyBorder="1"/>
    <xf numFmtId="2" fontId="1" fillId="0" borderId="1" xfId="0" applyNumberFormat="1" applyFont="1" applyBorder="1"/>
    <xf numFmtId="2" fontId="0" fillId="0" borderId="0" xfId="0" applyNumberFormat="1"/>
    <xf numFmtId="0" fontId="0" fillId="0" borderId="35" xfId="0" applyBorder="1"/>
    <xf numFmtId="0" fontId="0" fillId="0" borderId="37" xfId="0" applyBorder="1"/>
    <xf numFmtId="0" fontId="0" fillId="0" borderId="38" xfId="0" applyBorder="1"/>
    <xf numFmtId="0" fontId="0" fillId="0" borderId="39" xfId="0" applyBorder="1"/>
    <xf numFmtId="0" fontId="0" fillId="0" borderId="38" xfId="0" applyBorder="1" applyAlignment="1">
      <alignment horizontal="center"/>
    </xf>
    <xf numFmtId="0" fontId="0" fillId="0" borderId="0" xfId="0"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42" xfId="0" applyBorder="1" applyAlignment="1">
      <alignment horizontal="center"/>
    </xf>
    <xf numFmtId="0" fontId="0" fillId="0" borderId="43" xfId="0" applyBorder="1" applyAlignment="1">
      <alignment horizontal="center"/>
    </xf>
    <xf numFmtId="0" fontId="0" fillId="0" borderId="44" xfId="0" applyBorder="1"/>
    <xf numFmtId="0" fontId="0" fillId="0" borderId="45" xfId="0" applyBorder="1" applyAlignment="1">
      <alignment horizontal="center" vertical="center"/>
    </xf>
    <xf numFmtId="0" fontId="0" fillId="0" borderId="46" xfId="0" applyBorder="1"/>
    <xf numFmtId="0" fontId="0" fillId="0" borderId="35"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44" xfId="0" applyBorder="1" applyAlignment="1">
      <alignment horizontal="center" vertical="center"/>
    </xf>
    <xf numFmtId="0" fontId="0" fillId="0" borderId="46" xfId="0" applyBorder="1" applyAlignment="1">
      <alignment horizontal="center" vertical="center"/>
    </xf>
    <xf numFmtId="0" fontId="4" fillId="0" borderId="0" xfId="0" applyFont="1" applyBorder="1" applyAlignment="1">
      <alignment horizontal="left" vertical="top" wrapText="1"/>
    </xf>
    <xf numFmtId="0" fontId="0" fillId="0" borderId="47" xfId="0" applyBorder="1" applyAlignment="1">
      <alignment horizontal="left"/>
    </xf>
    <xf numFmtId="0" fontId="0" fillId="0" borderId="48" xfId="0" applyBorder="1" applyAlignment="1">
      <alignment horizontal="left"/>
    </xf>
    <xf numFmtId="0" fontId="0" fillId="0" borderId="49" xfId="0" applyBorder="1" applyAlignment="1">
      <alignment horizontal="left"/>
    </xf>
    <xf numFmtId="0" fontId="4" fillId="0" borderId="50" xfId="0" applyFont="1" applyBorder="1" applyAlignment="1">
      <alignment horizontal="left" vertical="top" wrapText="1"/>
    </xf>
    <xf numFmtId="0" fontId="4" fillId="0" borderId="51" xfId="0" applyFont="1" applyBorder="1" applyAlignment="1">
      <alignment horizontal="left" vertical="top" wrapText="1"/>
    </xf>
    <xf numFmtId="0" fontId="4" fillId="0" borderId="52" xfId="0" applyFont="1" applyBorder="1" applyAlignment="1">
      <alignment horizontal="left" vertical="top" wrapText="1"/>
    </xf>
    <xf numFmtId="0" fontId="4" fillId="0" borderId="53" xfId="0" applyFont="1" applyBorder="1" applyAlignment="1">
      <alignment horizontal="left" vertical="top" wrapText="1"/>
    </xf>
    <xf numFmtId="0" fontId="4" fillId="0" borderId="54" xfId="0" applyFont="1" applyBorder="1" applyAlignment="1">
      <alignment horizontal="left" vertical="top" wrapText="1"/>
    </xf>
    <xf numFmtId="0" fontId="4" fillId="0" borderId="55" xfId="0" applyFont="1" applyBorder="1" applyAlignment="1">
      <alignment horizontal="left" vertical="top" wrapText="1"/>
    </xf>
    <xf numFmtId="0" fontId="4" fillId="0" borderId="56" xfId="0" applyFont="1" applyBorder="1" applyAlignment="1">
      <alignment horizontal="left" vertical="top" wrapText="1"/>
    </xf>
    <xf numFmtId="0" fontId="4" fillId="0" borderId="57" xfId="0" applyFont="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20/07/relationships/rdRichValueWebImage" Target="richData/rdRichValueWebImage.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49.png"/></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1</xdr:col>
      <xdr:colOff>561975</xdr:colOff>
      <xdr:row>3</xdr:row>
      <xdr:rowOff>66675</xdr:rowOff>
    </xdr:to>
    <xdr:cxnSp macro="">
      <xdr:nvCxnSpPr>
        <xdr:cNvPr id="2" name="Straight Connector 1">
          <a:extLst>
            <a:ext uri="{FF2B5EF4-FFF2-40B4-BE49-F238E27FC236}">
              <a16:creationId xmlns:a16="http://schemas.microsoft.com/office/drawing/2014/main" id="{D5DC0DF7-EF07-4468-E509-6A44742E1000}"/>
            </a:ext>
          </a:extLst>
        </xdr:cNvPr>
        <xdr:cNvCxnSpPr>
          <a:cxnSpLocks/>
        </xdr:cNvCxnSpPr>
      </xdr:nvCxnSpPr>
      <xdr:spPr>
        <a:xfrm>
          <a:off x="609600" y="381000"/>
          <a:ext cx="561975" cy="25717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4</xdr:row>
      <xdr:rowOff>133350</xdr:rowOff>
    </xdr:from>
    <xdr:to>
      <xdr:col>1</xdr:col>
      <xdr:colOff>561975</xdr:colOff>
      <xdr:row>6</xdr:row>
      <xdr:rowOff>0</xdr:rowOff>
    </xdr:to>
    <xdr:cxnSp macro="">
      <xdr:nvCxnSpPr>
        <xdr:cNvPr id="3" name="Straight Connector 2">
          <a:extLst>
            <a:ext uri="{FF2B5EF4-FFF2-40B4-BE49-F238E27FC236}">
              <a16:creationId xmlns:a16="http://schemas.microsoft.com/office/drawing/2014/main" id="{F85A160B-B492-483A-A698-061E6C3463A3}"/>
            </a:ext>
            <a:ext uri="{147F2762-F138-4A5C-976F-8EAC2B608ADB}">
              <a16:predDERef xmlns:a16="http://schemas.microsoft.com/office/drawing/2014/main" pred="{D5DC0DF7-EF07-4468-E509-6A44742E1000}"/>
            </a:ext>
          </a:extLst>
        </xdr:cNvPr>
        <xdr:cNvCxnSpPr>
          <a:cxnSpLocks/>
        </xdr:cNvCxnSpPr>
      </xdr:nvCxnSpPr>
      <xdr:spPr>
        <a:xfrm flipV="1">
          <a:off x="609600" y="895350"/>
          <a:ext cx="561975" cy="247650"/>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xdr:row>
      <xdr:rowOff>0</xdr:rowOff>
    </xdr:from>
    <xdr:to>
      <xdr:col>1</xdr:col>
      <xdr:colOff>561975</xdr:colOff>
      <xdr:row>11</xdr:row>
      <xdr:rowOff>66675</xdr:rowOff>
    </xdr:to>
    <xdr:cxnSp macro="">
      <xdr:nvCxnSpPr>
        <xdr:cNvPr id="4" name="Straight Connector 3">
          <a:extLst>
            <a:ext uri="{FF2B5EF4-FFF2-40B4-BE49-F238E27FC236}">
              <a16:creationId xmlns:a16="http://schemas.microsoft.com/office/drawing/2014/main" id="{DCB6CAD9-8AB7-4D97-8AA4-233377D09126}"/>
            </a:ext>
            <a:ext uri="{147F2762-F138-4A5C-976F-8EAC2B608ADB}">
              <a16:predDERef xmlns:a16="http://schemas.microsoft.com/office/drawing/2014/main" pred="{F85A160B-B492-483A-A698-061E6C3463A3}"/>
            </a:ext>
          </a:extLst>
        </xdr:cNvPr>
        <xdr:cNvCxnSpPr>
          <a:cxnSpLocks/>
        </xdr:cNvCxnSpPr>
      </xdr:nvCxnSpPr>
      <xdr:spPr>
        <a:xfrm>
          <a:off x="609600" y="1905000"/>
          <a:ext cx="561975" cy="25717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18</xdr:row>
      <xdr:rowOff>0</xdr:rowOff>
    </xdr:from>
    <xdr:to>
      <xdr:col>1</xdr:col>
      <xdr:colOff>561975</xdr:colOff>
      <xdr:row>19</xdr:row>
      <xdr:rowOff>66675</xdr:rowOff>
    </xdr:to>
    <xdr:cxnSp macro="">
      <xdr:nvCxnSpPr>
        <xdr:cNvPr id="6" name="Straight Connector 5">
          <a:extLst>
            <a:ext uri="{FF2B5EF4-FFF2-40B4-BE49-F238E27FC236}">
              <a16:creationId xmlns:a16="http://schemas.microsoft.com/office/drawing/2014/main" id="{A7B6011D-183B-45FE-8DBF-0892A2D30E76}"/>
            </a:ext>
            <a:ext uri="{147F2762-F138-4A5C-976F-8EAC2B608ADB}">
              <a16:predDERef xmlns:a16="http://schemas.microsoft.com/office/drawing/2014/main" pred="{DCB6CAD9-8AB7-4D97-8AA4-233377D09126}"/>
            </a:ext>
          </a:extLst>
        </xdr:cNvPr>
        <xdr:cNvCxnSpPr>
          <a:cxnSpLocks/>
        </xdr:cNvCxnSpPr>
      </xdr:nvCxnSpPr>
      <xdr:spPr>
        <a:xfrm>
          <a:off x="609600" y="3429000"/>
          <a:ext cx="561975" cy="25717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26</xdr:row>
      <xdr:rowOff>0</xdr:rowOff>
    </xdr:from>
    <xdr:to>
      <xdr:col>1</xdr:col>
      <xdr:colOff>561975</xdr:colOff>
      <xdr:row>27</xdr:row>
      <xdr:rowOff>66675</xdr:rowOff>
    </xdr:to>
    <xdr:cxnSp macro="">
      <xdr:nvCxnSpPr>
        <xdr:cNvPr id="7" name="Straight Connector 6">
          <a:extLst>
            <a:ext uri="{FF2B5EF4-FFF2-40B4-BE49-F238E27FC236}">
              <a16:creationId xmlns:a16="http://schemas.microsoft.com/office/drawing/2014/main" id="{50F0E3CA-A370-4F34-8DCC-1D403AE71C1E}"/>
            </a:ext>
            <a:ext uri="{147F2762-F138-4A5C-976F-8EAC2B608ADB}">
              <a16:predDERef xmlns:a16="http://schemas.microsoft.com/office/drawing/2014/main" pred="{A7B6011D-183B-45FE-8DBF-0892A2D30E76}"/>
            </a:ext>
          </a:extLst>
        </xdr:cNvPr>
        <xdr:cNvCxnSpPr>
          <a:cxnSpLocks/>
        </xdr:cNvCxnSpPr>
      </xdr:nvCxnSpPr>
      <xdr:spPr>
        <a:xfrm>
          <a:off x="609600" y="4953000"/>
          <a:ext cx="561975" cy="25717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12</xdr:row>
      <xdr:rowOff>133350</xdr:rowOff>
    </xdr:from>
    <xdr:to>
      <xdr:col>1</xdr:col>
      <xdr:colOff>561975</xdr:colOff>
      <xdr:row>14</xdr:row>
      <xdr:rowOff>0</xdr:rowOff>
    </xdr:to>
    <xdr:cxnSp macro="">
      <xdr:nvCxnSpPr>
        <xdr:cNvPr id="8" name="Straight Connector 2">
          <a:extLst>
            <a:ext uri="{FF2B5EF4-FFF2-40B4-BE49-F238E27FC236}">
              <a16:creationId xmlns:a16="http://schemas.microsoft.com/office/drawing/2014/main" id="{D10A80DC-9AEB-4E1D-9945-5CA7246F0888}"/>
            </a:ext>
            <a:ext uri="{147F2762-F138-4A5C-976F-8EAC2B608ADB}">
              <a16:predDERef xmlns:a16="http://schemas.microsoft.com/office/drawing/2014/main" pred="{50F0E3CA-A370-4F34-8DCC-1D403AE71C1E}"/>
            </a:ext>
          </a:extLst>
        </xdr:cNvPr>
        <xdr:cNvCxnSpPr>
          <a:cxnSpLocks/>
        </xdr:cNvCxnSpPr>
      </xdr:nvCxnSpPr>
      <xdr:spPr>
        <a:xfrm flipV="1">
          <a:off x="609600" y="895350"/>
          <a:ext cx="561975" cy="247650"/>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20</xdr:row>
      <xdr:rowOff>133350</xdr:rowOff>
    </xdr:from>
    <xdr:to>
      <xdr:col>1</xdr:col>
      <xdr:colOff>561975</xdr:colOff>
      <xdr:row>22</xdr:row>
      <xdr:rowOff>0</xdr:rowOff>
    </xdr:to>
    <xdr:cxnSp macro="">
      <xdr:nvCxnSpPr>
        <xdr:cNvPr id="10" name="Straight Connector 2">
          <a:extLst>
            <a:ext uri="{FF2B5EF4-FFF2-40B4-BE49-F238E27FC236}">
              <a16:creationId xmlns:a16="http://schemas.microsoft.com/office/drawing/2014/main" id="{30845861-2B0B-4DE2-B9FE-70921C563D3C}"/>
            </a:ext>
            <a:ext uri="{147F2762-F138-4A5C-976F-8EAC2B608ADB}">
              <a16:predDERef xmlns:a16="http://schemas.microsoft.com/office/drawing/2014/main" pred="{D10A80DC-9AEB-4E1D-9945-5CA7246F0888}"/>
            </a:ext>
          </a:extLst>
        </xdr:cNvPr>
        <xdr:cNvCxnSpPr>
          <a:cxnSpLocks/>
        </xdr:cNvCxnSpPr>
      </xdr:nvCxnSpPr>
      <xdr:spPr>
        <a:xfrm flipV="1">
          <a:off x="609600" y="895350"/>
          <a:ext cx="561975" cy="247650"/>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28</xdr:row>
      <xdr:rowOff>133350</xdr:rowOff>
    </xdr:from>
    <xdr:to>
      <xdr:col>1</xdr:col>
      <xdr:colOff>561975</xdr:colOff>
      <xdr:row>30</xdr:row>
      <xdr:rowOff>0</xdr:rowOff>
    </xdr:to>
    <xdr:cxnSp macro="">
      <xdr:nvCxnSpPr>
        <xdr:cNvPr id="11" name="Straight Connector 2">
          <a:extLst>
            <a:ext uri="{FF2B5EF4-FFF2-40B4-BE49-F238E27FC236}">
              <a16:creationId xmlns:a16="http://schemas.microsoft.com/office/drawing/2014/main" id="{63A4B96A-EFD7-4BDF-B83A-1B306B57815C}"/>
            </a:ext>
            <a:ext uri="{147F2762-F138-4A5C-976F-8EAC2B608ADB}">
              <a16:predDERef xmlns:a16="http://schemas.microsoft.com/office/drawing/2014/main" pred="{30845861-2B0B-4DE2-B9FE-70921C563D3C}"/>
            </a:ext>
          </a:extLst>
        </xdr:cNvPr>
        <xdr:cNvCxnSpPr>
          <a:cxnSpLocks/>
        </xdr:cNvCxnSpPr>
      </xdr:nvCxnSpPr>
      <xdr:spPr>
        <a:xfrm flipV="1">
          <a:off x="609600" y="895350"/>
          <a:ext cx="561975" cy="247650"/>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600075</xdr:colOff>
      <xdr:row>3</xdr:row>
      <xdr:rowOff>171450</xdr:rowOff>
    </xdr:from>
    <xdr:to>
      <xdr:col>3</xdr:col>
      <xdr:colOff>533400</xdr:colOff>
      <xdr:row>7</xdr:row>
      <xdr:rowOff>142875</xdr:rowOff>
    </xdr:to>
    <xdr:cxnSp macro="">
      <xdr:nvCxnSpPr>
        <xdr:cNvPr id="13" name="Straight Connector 12">
          <a:extLst>
            <a:ext uri="{FF2B5EF4-FFF2-40B4-BE49-F238E27FC236}">
              <a16:creationId xmlns:a16="http://schemas.microsoft.com/office/drawing/2014/main" id="{F34307F6-30C6-4C07-BE81-C05CF4F1E8A4}"/>
            </a:ext>
            <a:ext uri="{147F2762-F138-4A5C-976F-8EAC2B608ADB}">
              <a16:predDERef xmlns:a16="http://schemas.microsoft.com/office/drawing/2014/main" pred="{63A4B96A-EFD7-4BDF-B83A-1B306B57815C}"/>
            </a:ext>
          </a:extLst>
        </xdr:cNvPr>
        <xdr:cNvCxnSpPr>
          <a:cxnSpLocks/>
        </xdr:cNvCxnSpPr>
      </xdr:nvCxnSpPr>
      <xdr:spPr>
        <a:xfrm>
          <a:off x="1819275" y="742950"/>
          <a:ext cx="542925" cy="73342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20</xdr:row>
      <xdr:rowOff>0</xdr:rowOff>
    </xdr:from>
    <xdr:to>
      <xdr:col>3</xdr:col>
      <xdr:colOff>542925</xdr:colOff>
      <xdr:row>23</xdr:row>
      <xdr:rowOff>161925</xdr:rowOff>
    </xdr:to>
    <xdr:cxnSp macro="">
      <xdr:nvCxnSpPr>
        <xdr:cNvPr id="14" name="Straight Connector 13">
          <a:extLst>
            <a:ext uri="{FF2B5EF4-FFF2-40B4-BE49-F238E27FC236}">
              <a16:creationId xmlns:a16="http://schemas.microsoft.com/office/drawing/2014/main" id="{3A1711D0-0BAD-40AB-82A1-3BF1CED6B05F}"/>
            </a:ext>
            <a:ext uri="{147F2762-F138-4A5C-976F-8EAC2B608ADB}">
              <a16:predDERef xmlns:a16="http://schemas.microsoft.com/office/drawing/2014/main" pred="{F34307F6-30C6-4C07-BE81-C05CF4F1E8A4}"/>
            </a:ext>
          </a:extLst>
        </xdr:cNvPr>
        <xdr:cNvCxnSpPr>
          <a:cxnSpLocks/>
        </xdr:cNvCxnSpPr>
      </xdr:nvCxnSpPr>
      <xdr:spPr>
        <a:xfrm>
          <a:off x="1828800" y="3810000"/>
          <a:ext cx="542925" cy="73342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28575</xdr:colOff>
      <xdr:row>24</xdr:row>
      <xdr:rowOff>95250</xdr:rowOff>
    </xdr:from>
    <xdr:to>
      <xdr:col>3</xdr:col>
      <xdr:colOff>533400</xdr:colOff>
      <xdr:row>27</xdr:row>
      <xdr:rowOff>161925</xdr:rowOff>
    </xdr:to>
    <xdr:cxnSp macro="">
      <xdr:nvCxnSpPr>
        <xdr:cNvPr id="15" name="Straight Connector 14">
          <a:extLst>
            <a:ext uri="{FF2B5EF4-FFF2-40B4-BE49-F238E27FC236}">
              <a16:creationId xmlns:a16="http://schemas.microsoft.com/office/drawing/2014/main" id="{39961093-729C-4026-9CCC-F90F5E2D511D}"/>
            </a:ext>
            <a:ext uri="{147F2762-F138-4A5C-976F-8EAC2B608ADB}">
              <a16:predDERef xmlns:a16="http://schemas.microsoft.com/office/drawing/2014/main" pred="{3A1711D0-0BAD-40AB-82A1-3BF1CED6B05F}"/>
            </a:ext>
          </a:extLst>
        </xdr:cNvPr>
        <xdr:cNvCxnSpPr>
          <a:cxnSpLocks/>
        </xdr:cNvCxnSpPr>
      </xdr:nvCxnSpPr>
      <xdr:spPr>
        <a:xfrm flipV="1">
          <a:off x="1857375" y="4667250"/>
          <a:ext cx="504825" cy="63817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28575</xdr:colOff>
      <xdr:row>8</xdr:row>
      <xdr:rowOff>104775</xdr:rowOff>
    </xdr:from>
    <xdr:to>
      <xdr:col>3</xdr:col>
      <xdr:colOff>533400</xdr:colOff>
      <xdr:row>11</xdr:row>
      <xdr:rowOff>171450</xdr:rowOff>
    </xdr:to>
    <xdr:cxnSp macro="">
      <xdr:nvCxnSpPr>
        <xdr:cNvPr id="16" name="Straight Connector 15">
          <a:extLst>
            <a:ext uri="{FF2B5EF4-FFF2-40B4-BE49-F238E27FC236}">
              <a16:creationId xmlns:a16="http://schemas.microsoft.com/office/drawing/2014/main" id="{30623DA9-28DA-46C3-B131-6B84C9759768}"/>
            </a:ext>
            <a:ext uri="{147F2762-F138-4A5C-976F-8EAC2B608ADB}">
              <a16:predDERef xmlns:a16="http://schemas.microsoft.com/office/drawing/2014/main" pred="{39961093-729C-4026-9CCC-F90F5E2D511D}"/>
            </a:ext>
          </a:extLst>
        </xdr:cNvPr>
        <xdr:cNvCxnSpPr>
          <a:cxnSpLocks/>
        </xdr:cNvCxnSpPr>
      </xdr:nvCxnSpPr>
      <xdr:spPr>
        <a:xfrm flipV="1">
          <a:off x="1857375" y="1628775"/>
          <a:ext cx="504825" cy="63817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600075</xdr:colOff>
      <xdr:row>7</xdr:row>
      <xdr:rowOff>180975</xdr:rowOff>
    </xdr:from>
    <xdr:to>
      <xdr:col>6</xdr:col>
      <xdr:colOff>561975</xdr:colOff>
      <xdr:row>13</xdr:row>
      <xdr:rowOff>114300</xdr:rowOff>
    </xdr:to>
    <xdr:cxnSp macro="">
      <xdr:nvCxnSpPr>
        <xdr:cNvPr id="18" name="Straight Connector 17">
          <a:extLst>
            <a:ext uri="{FF2B5EF4-FFF2-40B4-BE49-F238E27FC236}">
              <a16:creationId xmlns:a16="http://schemas.microsoft.com/office/drawing/2014/main" id="{AE3D515E-46E9-4E40-A879-94131C448361}"/>
            </a:ext>
            <a:ext uri="{147F2762-F138-4A5C-976F-8EAC2B608ADB}">
              <a16:predDERef xmlns:a16="http://schemas.microsoft.com/office/drawing/2014/main" pred="{30623DA9-28DA-46C3-B131-6B84C9759768}"/>
            </a:ext>
          </a:extLst>
        </xdr:cNvPr>
        <xdr:cNvCxnSpPr>
          <a:cxnSpLocks/>
        </xdr:cNvCxnSpPr>
      </xdr:nvCxnSpPr>
      <xdr:spPr>
        <a:xfrm>
          <a:off x="3038475" y="1514475"/>
          <a:ext cx="1181100" cy="107632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9525</xdr:colOff>
      <xdr:row>19</xdr:row>
      <xdr:rowOff>66675</xdr:rowOff>
    </xdr:from>
    <xdr:to>
      <xdr:col>6</xdr:col>
      <xdr:colOff>590550</xdr:colOff>
      <xdr:row>23</xdr:row>
      <xdr:rowOff>171450</xdr:rowOff>
    </xdr:to>
    <xdr:cxnSp macro="">
      <xdr:nvCxnSpPr>
        <xdr:cNvPr id="19" name="Straight Connector 18">
          <a:extLst>
            <a:ext uri="{FF2B5EF4-FFF2-40B4-BE49-F238E27FC236}">
              <a16:creationId xmlns:a16="http://schemas.microsoft.com/office/drawing/2014/main" id="{CFFD48E8-16C6-4C9A-BDDB-634D6CC538E0}"/>
            </a:ext>
            <a:ext uri="{147F2762-F138-4A5C-976F-8EAC2B608ADB}">
              <a16:predDERef xmlns:a16="http://schemas.microsoft.com/office/drawing/2014/main" pred="{AE3D515E-46E9-4E40-A879-94131C448361}"/>
            </a:ext>
          </a:extLst>
        </xdr:cNvPr>
        <xdr:cNvCxnSpPr>
          <a:cxnSpLocks/>
        </xdr:cNvCxnSpPr>
      </xdr:nvCxnSpPr>
      <xdr:spPr>
        <a:xfrm flipV="1">
          <a:off x="3057525" y="3686175"/>
          <a:ext cx="1190625" cy="86677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38100</xdr:colOff>
      <xdr:row>2</xdr:row>
      <xdr:rowOff>0</xdr:rowOff>
    </xdr:from>
    <xdr:to>
      <xdr:col>21</xdr:col>
      <xdr:colOff>571500</xdr:colOff>
      <xdr:row>3</xdr:row>
      <xdr:rowOff>114300</xdr:rowOff>
    </xdr:to>
    <xdr:cxnSp macro="">
      <xdr:nvCxnSpPr>
        <xdr:cNvPr id="20" name="Straight Connector 19">
          <a:extLst>
            <a:ext uri="{FF2B5EF4-FFF2-40B4-BE49-F238E27FC236}">
              <a16:creationId xmlns:a16="http://schemas.microsoft.com/office/drawing/2014/main" id="{4937F525-DD55-4D47-9AB3-6CC097F2C9AC}"/>
            </a:ext>
            <a:ext uri="{147F2762-F138-4A5C-976F-8EAC2B608ADB}">
              <a16:predDERef xmlns:a16="http://schemas.microsoft.com/office/drawing/2014/main" pred="{CFFD48E8-16C6-4C9A-BDDB-634D6CC538E0}"/>
            </a:ext>
          </a:extLst>
        </xdr:cNvPr>
        <xdr:cNvCxnSpPr>
          <a:cxnSpLocks/>
        </xdr:cNvCxnSpPr>
      </xdr:nvCxnSpPr>
      <xdr:spPr>
        <a:xfrm flipH="1">
          <a:off x="9791700" y="381000"/>
          <a:ext cx="533400" cy="304800"/>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10</xdr:row>
      <xdr:rowOff>0</xdr:rowOff>
    </xdr:from>
    <xdr:to>
      <xdr:col>21</xdr:col>
      <xdr:colOff>523875</xdr:colOff>
      <xdr:row>11</xdr:row>
      <xdr:rowOff>161925</xdr:rowOff>
    </xdr:to>
    <xdr:cxnSp macro="">
      <xdr:nvCxnSpPr>
        <xdr:cNvPr id="21" name="Straight Connector 20">
          <a:extLst>
            <a:ext uri="{FF2B5EF4-FFF2-40B4-BE49-F238E27FC236}">
              <a16:creationId xmlns:a16="http://schemas.microsoft.com/office/drawing/2014/main" id="{31C03560-3D88-405C-9DB5-B5FE61B8C550}"/>
            </a:ext>
            <a:ext uri="{147F2762-F138-4A5C-976F-8EAC2B608ADB}">
              <a16:predDERef xmlns:a16="http://schemas.microsoft.com/office/drawing/2014/main" pred="{4937F525-DD55-4D47-9AB3-6CC097F2C9AC}"/>
            </a:ext>
          </a:extLst>
        </xdr:cNvPr>
        <xdr:cNvCxnSpPr>
          <a:cxnSpLocks/>
        </xdr:cNvCxnSpPr>
      </xdr:nvCxnSpPr>
      <xdr:spPr>
        <a:xfrm flipH="1">
          <a:off x="9753600" y="1905000"/>
          <a:ext cx="523875" cy="35242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18</xdr:row>
      <xdr:rowOff>0</xdr:rowOff>
    </xdr:from>
    <xdr:to>
      <xdr:col>21</xdr:col>
      <xdr:colOff>523875</xdr:colOff>
      <xdr:row>19</xdr:row>
      <xdr:rowOff>161925</xdr:rowOff>
    </xdr:to>
    <xdr:cxnSp macro="">
      <xdr:nvCxnSpPr>
        <xdr:cNvPr id="22" name="Straight Connector 21">
          <a:extLst>
            <a:ext uri="{FF2B5EF4-FFF2-40B4-BE49-F238E27FC236}">
              <a16:creationId xmlns:a16="http://schemas.microsoft.com/office/drawing/2014/main" id="{0F1F6ADD-8031-4303-B6F6-9AFF93883CF7}"/>
            </a:ext>
            <a:ext uri="{147F2762-F138-4A5C-976F-8EAC2B608ADB}">
              <a16:predDERef xmlns:a16="http://schemas.microsoft.com/office/drawing/2014/main" pred="{31C03560-3D88-405C-9DB5-B5FE61B8C550}"/>
            </a:ext>
          </a:extLst>
        </xdr:cNvPr>
        <xdr:cNvCxnSpPr>
          <a:cxnSpLocks/>
        </xdr:cNvCxnSpPr>
      </xdr:nvCxnSpPr>
      <xdr:spPr>
        <a:xfrm flipH="1">
          <a:off x="9753600" y="3429000"/>
          <a:ext cx="523875" cy="35242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26</xdr:row>
      <xdr:rowOff>38100</xdr:rowOff>
    </xdr:from>
    <xdr:to>
      <xdr:col>21</xdr:col>
      <xdr:colOff>542925</xdr:colOff>
      <xdr:row>27</xdr:row>
      <xdr:rowOff>161925</xdr:rowOff>
    </xdr:to>
    <xdr:cxnSp macro="">
      <xdr:nvCxnSpPr>
        <xdr:cNvPr id="23" name="Straight Connector 22">
          <a:extLst>
            <a:ext uri="{FF2B5EF4-FFF2-40B4-BE49-F238E27FC236}">
              <a16:creationId xmlns:a16="http://schemas.microsoft.com/office/drawing/2014/main" id="{38C24EE6-6CF6-47DF-A8CA-09DE02C43EAA}"/>
            </a:ext>
            <a:ext uri="{147F2762-F138-4A5C-976F-8EAC2B608ADB}">
              <a16:predDERef xmlns:a16="http://schemas.microsoft.com/office/drawing/2014/main" pred="{0F1F6ADD-8031-4303-B6F6-9AFF93883CF7}"/>
            </a:ext>
          </a:extLst>
        </xdr:cNvPr>
        <xdr:cNvCxnSpPr>
          <a:cxnSpLocks/>
        </xdr:cNvCxnSpPr>
      </xdr:nvCxnSpPr>
      <xdr:spPr>
        <a:xfrm flipH="1">
          <a:off x="9753600" y="4991100"/>
          <a:ext cx="542925" cy="31432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28</xdr:row>
      <xdr:rowOff>66675</xdr:rowOff>
    </xdr:from>
    <xdr:to>
      <xdr:col>21</xdr:col>
      <xdr:colOff>561975</xdr:colOff>
      <xdr:row>29</xdr:row>
      <xdr:rowOff>171450</xdr:rowOff>
    </xdr:to>
    <xdr:cxnSp macro="">
      <xdr:nvCxnSpPr>
        <xdr:cNvPr id="24" name="Straight Connector 23">
          <a:extLst>
            <a:ext uri="{FF2B5EF4-FFF2-40B4-BE49-F238E27FC236}">
              <a16:creationId xmlns:a16="http://schemas.microsoft.com/office/drawing/2014/main" id="{8C13EE72-9D22-4542-9711-C1819FDAF1A0}"/>
            </a:ext>
            <a:ext uri="{147F2762-F138-4A5C-976F-8EAC2B608ADB}">
              <a16:predDERef xmlns:a16="http://schemas.microsoft.com/office/drawing/2014/main" pred="{38C24EE6-6CF6-47DF-A8CA-09DE02C43EAA}"/>
            </a:ext>
          </a:extLst>
        </xdr:cNvPr>
        <xdr:cNvCxnSpPr>
          <a:cxnSpLocks/>
        </xdr:cNvCxnSpPr>
      </xdr:nvCxnSpPr>
      <xdr:spPr>
        <a:xfrm flipH="1" flipV="1">
          <a:off x="9753600" y="5400675"/>
          <a:ext cx="561975" cy="29527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9525</xdr:colOff>
      <xdr:row>20</xdr:row>
      <xdr:rowOff>76200</xdr:rowOff>
    </xdr:from>
    <xdr:to>
      <xdr:col>21</xdr:col>
      <xdr:colOff>571500</xdr:colOff>
      <xdr:row>21</xdr:row>
      <xdr:rowOff>180975</xdr:rowOff>
    </xdr:to>
    <xdr:cxnSp macro="">
      <xdr:nvCxnSpPr>
        <xdr:cNvPr id="26" name="Straight Connector 25">
          <a:extLst>
            <a:ext uri="{FF2B5EF4-FFF2-40B4-BE49-F238E27FC236}">
              <a16:creationId xmlns:a16="http://schemas.microsoft.com/office/drawing/2014/main" id="{8FE33FD3-6C67-401F-B7F6-2C7918172AEE}"/>
            </a:ext>
            <a:ext uri="{147F2762-F138-4A5C-976F-8EAC2B608ADB}">
              <a16:predDERef xmlns:a16="http://schemas.microsoft.com/office/drawing/2014/main" pred="{8C13EE72-9D22-4542-9711-C1819FDAF1A0}"/>
            </a:ext>
          </a:extLst>
        </xdr:cNvPr>
        <xdr:cNvCxnSpPr>
          <a:cxnSpLocks/>
        </xdr:cNvCxnSpPr>
      </xdr:nvCxnSpPr>
      <xdr:spPr>
        <a:xfrm flipH="1" flipV="1">
          <a:off x="9763125" y="3886200"/>
          <a:ext cx="561975" cy="29527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28575</xdr:colOff>
      <xdr:row>12</xdr:row>
      <xdr:rowOff>66675</xdr:rowOff>
    </xdr:from>
    <xdr:to>
      <xdr:col>21</xdr:col>
      <xdr:colOff>590550</xdr:colOff>
      <xdr:row>13</xdr:row>
      <xdr:rowOff>171450</xdr:rowOff>
    </xdr:to>
    <xdr:cxnSp macro="">
      <xdr:nvCxnSpPr>
        <xdr:cNvPr id="27" name="Straight Connector 26">
          <a:extLst>
            <a:ext uri="{FF2B5EF4-FFF2-40B4-BE49-F238E27FC236}">
              <a16:creationId xmlns:a16="http://schemas.microsoft.com/office/drawing/2014/main" id="{57CB78B9-35D1-43E3-A0FB-5974484AB531}"/>
            </a:ext>
            <a:ext uri="{147F2762-F138-4A5C-976F-8EAC2B608ADB}">
              <a16:predDERef xmlns:a16="http://schemas.microsoft.com/office/drawing/2014/main" pred="{8FE33FD3-6C67-401F-B7F6-2C7918172AEE}"/>
            </a:ext>
          </a:extLst>
        </xdr:cNvPr>
        <xdr:cNvCxnSpPr>
          <a:cxnSpLocks/>
        </xdr:cNvCxnSpPr>
      </xdr:nvCxnSpPr>
      <xdr:spPr>
        <a:xfrm flipH="1" flipV="1">
          <a:off x="9782175" y="2352675"/>
          <a:ext cx="561975" cy="29527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38100</xdr:colOff>
      <xdr:row>4</xdr:row>
      <xdr:rowOff>85725</xdr:rowOff>
    </xdr:from>
    <xdr:to>
      <xdr:col>21</xdr:col>
      <xdr:colOff>600075</xdr:colOff>
      <xdr:row>6</xdr:row>
      <xdr:rowOff>0</xdr:rowOff>
    </xdr:to>
    <xdr:cxnSp macro="">
      <xdr:nvCxnSpPr>
        <xdr:cNvPr id="28" name="Straight Connector 27">
          <a:extLst>
            <a:ext uri="{FF2B5EF4-FFF2-40B4-BE49-F238E27FC236}">
              <a16:creationId xmlns:a16="http://schemas.microsoft.com/office/drawing/2014/main" id="{BC960B1F-880A-4AA4-B1C8-F2E37C69BADE}"/>
            </a:ext>
            <a:ext uri="{147F2762-F138-4A5C-976F-8EAC2B608ADB}">
              <a16:predDERef xmlns:a16="http://schemas.microsoft.com/office/drawing/2014/main" pred="{57CB78B9-35D1-43E3-A0FB-5974484AB531}"/>
            </a:ext>
          </a:extLst>
        </xdr:cNvPr>
        <xdr:cNvCxnSpPr>
          <a:cxnSpLocks/>
        </xdr:cNvCxnSpPr>
      </xdr:nvCxnSpPr>
      <xdr:spPr>
        <a:xfrm flipH="1" flipV="1">
          <a:off x="9791700" y="847725"/>
          <a:ext cx="561975" cy="29527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38100</xdr:colOff>
      <xdr:row>4</xdr:row>
      <xdr:rowOff>47625</xdr:rowOff>
    </xdr:from>
    <xdr:to>
      <xdr:col>19</xdr:col>
      <xdr:colOff>581025</xdr:colOff>
      <xdr:row>7</xdr:row>
      <xdr:rowOff>76200</xdr:rowOff>
    </xdr:to>
    <xdr:cxnSp macro="">
      <xdr:nvCxnSpPr>
        <xdr:cNvPr id="29" name="Straight Connector 28">
          <a:extLst>
            <a:ext uri="{FF2B5EF4-FFF2-40B4-BE49-F238E27FC236}">
              <a16:creationId xmlns:a16="http://schemas.microsoft.com/office/drawing/2014/main" id="{F1585612-39D0-4FFB-A637-DAC8C1AF9B73}"/>
            </a:ext>
            <a:ext uri="{147F2762-F138-4A5C-976F-8EAC2B608ADB}">
              <a16:predDERef xmlns:a16="http://schemas.microsoft.com/office/drawing/2014/main" pred="{BC960B1F-880A-4AA4-B1C8-F2E37C69BADE}"/>
            </a:ext>
          </a:extLst>
        </xdr:cNvPr>
        <xdr:cNvCxnSpPr>
          <a:cxnSpLocks/>
        </xdr:cNvCxnSpPr>
      </xdr:nvCxnSpPr>
      <xdr:spPr>
        <a:xfrm flipH="1">
          <a:off x="8572500" y="809625"/>
          <a:ext cx="542925" cy="60007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57150</xdr:colOff>
      <xdr:row>20</xdr:row>
      <xdr:rowOff>9525</xdr:rowOff>
    </xdr:from>
    <xdr:to>
      <xdr:col>19</xdr:col>
      <xdr:colOff>581025</xdr:colOff>
      <xdr:row>23</xdr:row>
      <xdr:rowOff>85725</xdr:rowOff>
    </xdr:to>
    <xdr:cxnSp macro="">
      <xdr:nvCxnSpPr>
        <xdr:cNvPr id="30" name="Straight Connector 29">
          <a:extLst>
            <a:ext uri="{FF2B5EF4-FFF2-40B4-BE49-F238E27FC236}">
              <a16:creationId xmlns:a16="http://schemas.microsoft.com/office/drawing/2014/main" id="{CB6C8D15-C2A8-4DC8-9FBF-DC2B312522A9}"/>
            </a:ext>
            <a:ext uri="{147F2762-F138-4A5C-976F-8EAC2B608ADB}">
              <a16:predDERef xmlns:a16="http://schemas.microsoft.com/office/drawing/2014/main" pred="{F1585612-39D0-4FFB-A637-DAC8C1AF9B73}"/>
            </a:ext>
          </a:extLst>
        </xdr:cNvPr>
        <xdr:cNvCxnSpPr>
          <a:cxnSpLocks/>
        </xdr:cNvCxnSpPr>
      </xdr:nvCxnSpPr>
      <xdr:spPr>
        <a:xfrm flipH="1">
          <a:off x="8591550" y="3819525"/>
          <a:ext cx="523875" cy="647700"/>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66675</xdr:colOff>
      <xdr:row>24</xdr:row>
      <xdr:rowOff>76200</xdr:rowOff>
    </xdr:from>
    <xdr:to>
      <xdr:col>19</xdr:col>
      <xdr:colOff>561975</xdr:colOff>
      <xdr:row>27</xdr:row>
      <xdr:rowOff>171450</xdr:rowOff>
    </xdr:to>
    <xdr:cxnSp macro="">
      <xdr:nvCxnSpPr>
        <xdr:cNvPr id="31" name="Straight Connector 30">
          <a:extLst>
            <a:ext uri="{FF2B5EF4-FFF2-40B4-BE49-F238E27FC236}">
              <a16:creationId xmlns:a16="http://schemas.microsoft.com/office/drawing/2014/main" id="{72FE4474-54C6-406D-975E-01B848CF02E3}"/>
            </a:ext>
            <a:ext uri="{147F2762-F138-4A5C-976F-8EAC2B608ADB}">
              <a16:predDERef xmlns:a16="http://schemas.microsoft.com/office/drawing/2014/main" pred="{CB6C8D15-C2A8-4DC8-9FBF-DC2B312522A9}"/>
            </a:ext>
          </a:extLst>
        </xdr:cNvPr>
        <xdr:cNvCxnSpPr>
          <a:cxnSpLocks/>
        </xdr:cNvCxnSpPr>
      </xdr:nvCxnSpPr>
      <xdr:spPr>
        <a:xfrm flipH="1" flipV="1">
          <a:off x="8601075" y="4648200"/>
          <a:ext cx="495300" cy="666750"/>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38100</xdr:colOff>
      <xdr:row>8</xdr:row>
      <xdr:rowOff>19050</xdr:rowOff>
    </xdr:from>
    <xdr:to>
      <xdr:col>17</xdr:col>
      <xdr:colOff>561975</xdr:colOff>
      <xdr:row>13</xdr:row>
      <xdr:rowOff>104775</xdr:rowOff>
    </xdr:to>
    <xdr:cxnSp macro="">
      <xdr:nvCxnSpPr>
        <xdr:cNvPr id="32" name="Straight Connector 31">
          <a:extLst>
            <a:ext uri="{FF2B5EF4-FFF2-40B4-BE49-F238E27FC236}">
              <a16:creationId xmlns:a16="http://schemas.microsoft.com/office/drawing/2014/main" id="{C694252E-3B20-476A-B018-B619DDE033B1}"/>
            </a:ext>
            <a:ext uri="{147F2762-F138-4A5C-976F-8EAC2B608ADB}">
              <a16:predDERef xmlns:a16="http://schemas.microsoft.com/office/drawing/2014/main" pred="{72FE4474-54C6-406D-975E-01B848CF02E3}"/>
            </a:ext>
          </a:extLst>
        </xdr:cNvPr>
        <xdr:cNvCxnSpPr>
          <a:cxnSpLocks/>
        </xdr:cNvCxnSpPr>
      </xdr:nvCxnSpPr>
      <xdr:spPr>
        <a:xfrm flipH="1">
          <a:off x="6743700" y="1543050"/>
          <a:ext cx="1133475" cy="103822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28575</xdr:colOff>
      <xdr:row>19</xdr:row>
      <xdr:rowOff>76200</xdr:rowOff>
    </xdr:from>
    <xdr:to>
      <xdr:col>17</xdr:col>
      <xdr:colOff>552450</xdr:colOff>
      <xdr:row>23</xdr:row>
      <xdr:rowOff>180975</xdr:rowOff>
    </xdr:to>
    <xdr:cxnSp macro="">
      <xdr:nvCxnSpPr>
        <xdr:cNvPr id="33" name="Straight Connector 32">
          <a:extLst>
            <a:ext uri="{FF2B5EF4-FFF2-40B4-BE49-F238E27FC236}">
              <a16:creationId xmlns:a16="http://schemas.microsoft.com/office/drawing/2014/main" id="{D04A5DF8-8435-4A19-9FB6-25032808BCED}"/>
            </a:ext>
            <a:ext uri="{147F2762-F138-4A5C-976F-8EAC2B608ADB}">
              <a16:predDERef xmlns:a16="http://schemas.microsoft.com/office/drawing/2014/main" pred="{C694252E-3B20-476A-B018-B619DDE033B1}"/>
            </a:ext>
          </a:extLst>
        </xdr:cNvPr>
        <xdr:cNvCxnSpPr>
          <a:cxnSpLocks/>
        </xdr:cNvCxnSpPr>
      </xdr:nvCxnSpPr>
      <xdr:spPr>
        <a:xfrm flipH="1" flipV="1">
          <a:off x="6734175" y="3695700"/>
          <a:ext cx="1133475" cy="86677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19050</xdr:colOff>
      <xdr:row>16</xdr:row>
      <xdr:rowOff>76200</xdr:rowOff>
    </xdr:from>
    <xdr:to>
      <xdr:col>8</xdr:col>
      <xdr:colOff>514350</xdr:colOff>
      <xdr:row>16</xdr:row>
      <xdr:rowOff>76200</xdr:rowOff>
    </xdr:to>
    <xdr:cxnSp macro="">
      <xdr:nvCxnSpPr>
        <xdr:cNvPr id="34" name="Straight Connector 33">
          <a:extLst>
            <a:ext uri="{FF2B5EF4-FFF2-40B4-BE49-F238E27FC236}">
              <a16:creationId xmlns:a16="http://schemas.microsoft.com/office/drawing/2014/main" id="{93BF66DC-79E9-668A-8480-CA6BF4B1BA7C}"/>
            </a:ext>
            <a:ext uri="{147F2762-F138-4A5C-976F-8EAC2B608ADB}">
              <a16:predDERef xmlns:a16="http://schemas.microsoft.com/office/drawing/2014/main" pred="{D04A5DF8-8435-4A19-9FB6-25032808BCED}"/>
            </a:ext>
          </a:extLst>
        </xdr:cNvPr>
        <xdr:cNvCxnSpPr>
          <a:cxnSpLocks/>
        </xdr:cNvCxnSpPr>
      </xdr:nvCxnSpPr>
      <xdr:spPr>
        <a:xfrm>
          <a:off x="4895850" y="3124200"/>
          <a:ext cx="495300" cy="0"/>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104775</xdr:colOff>
      <xdr:row>16</xdr:row>
      <xdr:rowOff>95250</xdr:rowOff>
    </xdr:from>
    <xdr:to>
      <xdr:col>14</xdr:col>
      <xdr:colOff>561975</xdr:colOff>
      <xdr:row>16</xdr:row>
      <xdr:rowOff>104775</xdr:rowOff>
    </xdr:to>
    <xdr:cxnSp macro="">
      <xdr:nvCxnSpPr>
        <xdr:cNvPr id="35" name="Straight Connector 34">
          <a:extLst>
            <a:ext uri="{FF2B5EF4-FFF2-40B4-BE49-F238E27FC236}">
              <a16:creationId xmlns:a16="http://schemas.microsoft.com/office/drawing/2014/main" id="{3BEA8159-6B18-4A01-B499-F3E6DD4FBF2E}"/>
            </a:ext>
            <a:ext uri="{147F2762-F138-4A5C-976F-8EAC2B608ADB}">
              <a16:predDERef xmlns:a16="http://schemas.microsoft.com/office/drawing/2014/main" pred="{93BF66DC-79E9-668A-8480-CA6BF4B1BA7C}"/>
            </a:ext>
          </a:extLst>
        </xdr:cNvPr>
        <xdr:cNvCxnSpPr>
          <a:cxnSpLocks/>
        </xdr:cNvCxnSpPr>
      </xdr:nvCxnSpPr>
      <xdr:spPr>
        <a:xfrm flipH="1">
          <a:off x="8705850" y="3143250"/>
          <a:ext cx="457200" cy="952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6</xdr:col>
      <xdr:colOff>470068</xdr:colOff>
      <xdr:row>2</xdr:row>
      <xdr:rowOff>65361</xdr:rowOff>
    </xdr:from>
    <xdr:to>
      <xdr:col>16</xdr:col>
      <xdr:colOff>438150</xdr:colOff>
      <xdr:row>10</xdr:row>
      <xdr:rowOff>75616</xdr:rowOff>
    </xdr:to>
    <xdr:pic>
      <xdr:nvPicPr>
        <xdr:cNvPr id="9" name="Picture 8">
          <a:extLst>
            <a:ext uri="{FF2B5EF4-FFF2-40B4-BE49-F238E27FC236}">
              <a16:creationId xmlns:a16="http://schemas.microsoft.com/office/drawing/2014/main" id="{E1F14FFF-F440-56C4-6ECE-1828B6D8D8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668" y="446361"/>
          <a:ext cx="6130757" cy="1534255"/>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dRichValueWebImage.xml.rels><?xml version="1.0" encoding="UTF-8" standalone="yes"?>
<Relationships xmlns="http://schemas.openxmlformats.org/package/2006/relationships"><Relationship Id="rId13" Type="http://schemas.openxmlformats.org/officeDocument/2006/relationships/hyperlink" Target="https://flagcdn.com/w40/pt.png" TargetMode="External"/><Relationship Id="rId18" Type="http://schemas.openxmlformats.org/officeDocument/2006/relationships/image" Target="../media/image9.png"/><Relationship Id="rId26" Type="http://schemas.openxmlformats.org/officeDocument/2006/relationships/image" Target="../media/image13.png"/><Relationship Id="rId39" Type="http://schemas.openxmlformats.org/officeDocument/2006/relationships/hyperlink" Target="https://flagcdn.com/w40/ch.png" TargetMode="External"/><Relationship Id="rId21" Type="http://schemas.openxmlformats.org/officeDocument/2006/relationships/hyperlink" Target="https://flagcdn.com/w40/co.png" TargetMode="External"/><Relationship Id="rId34" Type="http://schemas.openxmlformats.org/officeDocument/2006/relationships/image" Target="../media/image17.png"/><Relationship Id="rId42" Type="http://schemas.openxmlformats.org/officeDocument/2006/relationships/image" Target="../media/image21.png"/><Relationship Id="rId47" Type="http://schemas.openxmlformats.org/officeDocument/2006/relationships/hyperlink" Target="https://flagcdn.com/w40/au.png" TargetMode="External"/><Relationship Id="rId50" Type="http://schemas.openxmlformats.org/officeDocument/2006/relationships/image" Target="../media/image25.png"/><Relationship Id="rId55" Type="http://schemas.openxmlformats.org/officeDocument/2006/relationships/hyperlink" Target="https://flagcdn.com/w40/gb-sct.png" TargetMode="External"/><Relationship Id="rId63" Type="http://schemas.openxmlformats.org/officeDocument/2006/relationships/hyperlink" Target="https://flagcdn.com/w40/gh.png" TargetMode="External"/><Relationship Id="rId68" Type="http://schemas.openxmlformats.org/officeDocument/2006/relationships/image" Target="../media/image34.png"/><Relationship Id="rId76" Type="http://schemas.openxmlformats.org/officeDocument/2006/relationships/image" Target="../media/image38.png"/><Relationship Id="rId84" Type="http://schemas.openxmlformats.org/officeDocument/2006/relationships/image" Target="../media/image42.png"/><Relationship Id="rId89" Type="http://schemas.openxmlformats.org/officeDocument/2006/relationships/hyperlink" Target="https://flagcdn.com/w40/za.png" TargetMode="External"/><Relationship Id="rId7" Type="http://schemas.openxmlformats.org/officeDocument/2006/relationships/hyperlink" Target="https://flagcdn.com/w40/ar.png" TargetMode="External"/><Relationship Id="rId71" Type="http://schemas.openxmlformats.org/officeDocument/2006/relationships/hyperlink" Target="https://flagcdn.com/w40/qa.png" TargetMode="External"/><Relationship Id="rId92" Type="http://schemas.openxmlformats.org/officeDocument/2006/relationships/image" Target="../media/image46.png"/><Relationship Id="rId2" Type="http://schemas.openxmlformats.org/officeDocument/2006/relationships/image" Target="../media/image1.png"/><Relationship Id="rId16" Type="http://schemas.openxmlformats.org/officeDocument/2006/relationships/image" Target="../media/image8.png"/><Relationship Id="rId29" Type="http://schemas.openxmlformats.org/officeDocument/2006/relationships/hyperlink" Target="https://flagcdn.com/w40/us.png" TargetMode="External"/><Relationship Id="rId11" Type="http://schemas.openxmlformats.org/officeDocument/2006/relationships/hyperlink" Target="https://flagcdn.com/w40/de.png" TargetMode="External"/><Relationship Id="rId24" Type="http://schemas.openxmlformats.org/officeDocument/2006/relationships/image" Target="../media/image12.png"/><Relationship Id="rId32" Type="http://schemas.openxmlformats.org/officeDocument/2006/relationships/image" Target="../media/image16.png"/><Relationship Id="rId37" Type="http://schemas.openxmlformats.org/officeDocument/2006/relationships/hyperlink" Target="https://flagcdn.com/w40/mx.png" TargetMode="External"/><Relationship Id="rId40" Type="http://schemas.openxmlformats.org/officeDocument/2006/relationships/image" Target="../media/image20.png"/><Relationship Id="rId45" Type="http://schemas.openxmlformats.org/officeDocument/2006/relationships/hyperlink" Target="https://flagcdn.com/w40/sn.png" TargetMode="External"/><Relationship Id="rId53" Type="http://schemas.openxmlformats.org/officeDocument/2006/relationships/hyperlink" Target="https://flagcdn.com/w40/py.png" TargetMode="External"/><Relationship Id="rId58" Type="http://schemas.openxmlformats.org/officeDocument/2006/relationships/image" Target="../media/image29.png"/><Relationship Id="rId66" Type="http://schemas.openxmlformats.org/officeDocument/2006/relationships/image" Target="../media/image33.png"/><Relationship Id="rId74" Type="http://schemas.openxmlformats.org/officeDocument/2006/relationships/image" Target="../media/image37.png"/><Relationship Id="rId79" Type="http://schemas.openxmlformats.org/officeDocument/2006/relationships/hyperlink" Target="https://flagcdn.com/w40/iq.png" TargetMode="External"/><Relationship Id="rId87" Type="http://schemas.openxmlformats.org/officeDocument/2006/relationships/hyperlink" Target="https://flagcdn.com/w40/sa.png" TargetMode="External"/><Relationship Id="rId5" Type="http://schemas.openxmlformats.org/officeDocument/2006/relationships/hyperlink" Target="https://flagcdn.com/w40/gb-eng.png" TargetMode="External"/><Relationship Id="rId61" Type="http://schemas.openxmlformats.org/officeDocument/2006/relationships/hyperlink" Target="https://flagcdn.com/w40/cz.png" TargetMode="External"/><Relationship Id="rId82" Type="http://schemas.openxmlformats.org/officeDocument/2006/relationships/image" Target="../media/image41.png"/><Relationship Id="rId90" Type="http://schemas.openxmlformats.org/officeDocument/2006/relationships/image" Target="../media/image45.png"/><Relationship Id="rId95" Type="http://schemas.openxmlformats.org/officeDocument/2006/relationships/hyperlink" Target="https://flagcdn.com/w40/ht.png" TargetMode="External"/><Relationship Id="rId19" Type="http://schemas.openxmlformats.org/officeDocument/2006/relationships/hyperlink" Target="https://flagcdn.com/w40/be.png" TargetMode="External"/><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hyperlink" Target="https://flagcdn.com/w40/uy.png" TargetMode="External"/><Relationship Id="rId30" Type="http://schemas.openxmlformats.org/officeDocument/2006/relationships/image" Target="../media/image15.png"/><Relationship Id="rId35" Type="http://schemas.openxmlformats.org/officeDocument/2006/relationships/hyperlink" Target="https://flagcdn.com/w40/hr.png" TargetMode="External"/><Relationship Id="rId43" Type="http://schemas.openxmlformats.org/officeDocument/2006/relationships/hyperlink" Target="https://flagcdn.com/w40/ec.png" TargetMode="External"/><Relationship Id="rId48" Type="http://schemas.openxmlformats.org/officeDocument/2006/relationships/image" Target="../media/image24.png"/><Relationship Id="rId56" Type="http://schemas.openxmlformats.org/officeDocument/2006/relationships/image" Target="../media/image28.png"/><Relationship Id="rId64" Type="http://schemas.openxmlformats.org/officeDocument/2006/relationships/image" Target="../media/image32.png"/><Relationship Id="rId69" Type="http://schemas.openxmlformats.org/officeDocument/2006/relationships/hyperlink" Target="https://flagcdn.com/w40/ir.png" TargetMode="External"/><Relationship Id="rId77" Type="http://schemas.openxmlformats.org/officeDocument/2006/relationships/hyperlink" Target="https://flagcdn.com/w40/cd.png" TargetMode="External"/><Relationship Id="rId8" Type="http://schemas.openxmlformats.org/officeDocument/2006/relationships/image" Target="../media/image4.png"/><Relationship Id="rId51" Type="http://schemas.openxmlformats.org/officeDocument/2006/relationships/hyperlink" Target="https://flagcdn.com/w40/ci.png" TargetMode="External"/><Relationship Id="rId72" Type="http://schemas.openxmlformats.org/officeDocument/2006/relationships/image" Target="../media/image36.png"/><Relationship Id="rId80" Type="http://schemas.openxmlformats.org/officeDocument/2006/relationships/image" Target="../media/image40.png"/><Relationship Id="rId85" Type="http://schemas.openxmlformats.org/officeDocument/2006/relationships/hyperlink" Target="https://flagcdn.com/w40/pa.png" TargetMode="External"/><Relationship Id="rId93" Type="http://schemas.openxmlformats.org/officeDocument/2006/relationships/hyperlink" Target="https://flagcdn.com/w40/cw.png" TargetMode="External"/><Relationship Id="rId3" Type="http://schemas.openxmlformats.org/officeDocument/2006/relationships/hyperlink" Target="https://flagcdn.com/w40/fr.png" TargetMode="External"/><Relationship Id="rId12" Type="http://schemas.openxmlformats.org/officeDocument/2006/relationships/image" Target="../media/image6.png"/><Relationship Id="rId17" Type="http://schemas.openxmlformats.org/officeDocument/2006/relationships/hyperlink" Target="https://flagcdn.com/w40/no.png" TargetMode="External"/><Relationship Id="rId25" Type="http://schemas.openxmlformats.org/officeDocument/2006/relationships/hyperlink" Target="https://flagcdn.com/w40/ma.png" TargetMode="External"/><Relationship Id="rId33" Type="http://schemas.openxmlformats.org/officeDocument/2006/relationships/hyperlink" Target="https://flagcdn.com/w40/ca.png" TargetMode="External"/><Relationship Id="rId38" Type="http://schemas.openxmlformats.org/officeDocument/2006/relationships/image" Target="../media/image19.png"/><Relationship Id="rId46" Type="http://schemas.openxmlformats.org/officeDocument/2006/relationships/image" Target="../media/image23.png"/><Relationship Id="rId59" Type="http://schemas.openxmlformats.org/officeDocument/2006/relationships/hyperlink" Target="https://flagcdn.com/w40/se.png" TargetMode="External"/><Relationship Id="rId67" Type="http://schemas.openxmlformats.org/officeDocument/2006/relationships/hyperlink" Target="https://flagcdn.com/w40/ba.png" TargetMode="External"/><Relationship Id="rId20" Type="http://schemas.openxmlformats.org/officeDocument/2006/relationships/image" Target="../media/image10.png"/><Relationship Id="rId41" Type="http://schemas.openxmlformats.org/officeDocument/2006/relationships/hyperlink" Target="https://flagcdn.com/w40/tr.png" TargetMode="External"/><Relationship Id="rId54" Type="http://schemas.openxmlformats.org/officeDocument/2006/relationships/image" Target="../media/image27.png"/><Relationship Id="rId62" Type="http://schemas.openxmlformats.org/officeDocument/2006/relationships/image" Target="../media/image31.png"/><Relationship Id="rId70" Type="http://schemas.openxmlformats.org/officeDocument/2006/relationships/image" Target="../media/image35.png"/><Relationship Id="rId75" Type="http://schemas.openxmlformats.org/officeDocument/2006/relationships/hyperlink" Target="https://flagcdn.com/w40/cv.png" TargetMode="External"/><Relationship Id="rId83" Type="http://schemas.openxmlformats.org/officeDocument/2006/relationships/hyperlink" Target="https://flagcdn.com/w40/nz.png" TargetMode="External"/><Relationship Id="rId88" Type="http://schemas.openxmlformats.org/officeDocument/2006/relationships/image" Target="../media/image44.png"/><Relationship Id="rId91" Type="http://schemas.openxmlformats.org/officeDocument/2006/relationships/hyperlink" Target="https://flagcdn.com/w40/uz.png" TargetMode="External"/><Relationship Id="rId96" Type="http://schemas.openxmlformats.org/officeDocument/2006/relationships/image" Target="../media/image48.png"/><Relationship Id="rId1" Type="http://schemas.openxmlformats.org/officeDocument/2006/relationships/hyperlink" Target="https://flagcdn.com/w40/es.png" TargetMode="External"/><Relationship Id="rId6" Type="http://schemas.openxmlformats.org/officeDocument/2006/relationships/image" Target="../media/image3.png"/><Relationship Id="rId15" Type="http://schemas.openxmlformats.org/officeDocument/2006/relationships/hyperlink" Target="https://flagcdn.com/w40/nl.png" TargetMode="External"/><Relationship Id="rId23" Type="http://schemas.openxmlformats.org/officeDocument/2006/relationships/hyperlink" Target="https://flagcdn.com/w40/jp.png" TargetMode="External"/><Relationship Id="rId28" Type="http://schemas.openxmlformats.org/officeDocument/2006/relationships/image" Target="../media/image14.png"/><Relationship Id="rId36" Type="http://schemas.openxmlformats.org/officeDocument/2006/relationships/image" Target="../media/image18.png"/><Relationship Id="rId49" Type="http://schemas.openxmlformats.org/officeDocument/2006/relationships/hyperlink" Target="https://flagcdn.com/w40/eg.png" TargetMode="External"/><Relationship Id="rId57" Type="http://schemas.openxmlformats.org/officeDocument/2006/relationships/hyperlink" Target="https://flagcdn.com/w40/kr.png" TargetMode="External"/><Relationship Id="rId10" Type="http://schemas.openxmlformats.org/officeDocument/2006/relationships/image" Target="../media/image5.png"/><Relationship Id="rId31" Type="http://schemas.openxmlformats.org/officeDocument/2006/relationships/hyperlink" Target="https://flagcdn.com/w40/at.png" TargetMode="External"/><Relationship Id="rId44" Type="http://schemas.openxmlformats.org/officeDocument/2006/relationships/image" Target="../media/image22.png"/><Relationship Id="rId52" Type="http://schemas.openxmlformats.org/officeDocument/2006/relationships/image" Target="../media/image26.png"/><Relationship Id="rId60" Type="http://schemas.openxmlformats.org/officeDocument/2006/relationships/image" Target="../media/image30.png"/><Relationship Id="rId65" Type="http://schemas.openxmlformats.org/officeDocument/2006/relationships/hyperlink" Target="https://flagcdn.com/w40/dz.png" TargetMode="External"/><Relationship Id="rId73" Type="http://schemas.openxmlformats.org/officeDocument/2006/relationships/hyperlink" Target="https://flagcdn.com/w40/tn.png" TargetMode="External"/><Relationship Id="rId78" Type="http://schemas.openxmlformats.org/officeDocument/2006/relationships/image" Target="../media/image39.png"/><Relationship Id="rId81" Type="http://schemas.openxmlformats.org/officeDocument/2006/relationships/hyperlink" Target="https://flagcdn.com/w40/jo.png" TargetMode="External"/><Relationship Id="rId86" Type="http://schemas.openxmlformats.org/officeDocument/2006/relationships/image" Target="../media/image43.png"/><Relationship Id="rId94" Type="http://schemas.openxmlformats.org/officeDocument/2006/relationships/image" Target="../media/image47.png"/><Relationship Id="rId4" Type="http://schemas.openxmlformats.org/officeDocument/2006/relationships/image" Target="../media/image2.png"/><Relationship Id="rId9" Type="http://schemas.openxmlformats.org/officeDocument/2006/relationships/hyperlink" Target="https://flagcdn.com/w40/br.png"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rd>
    <address r:id="rId15"/>
    <blip r:id="rId16"/>
  </webImageSrd>
  <webImageSrd>
    <address r:id="rId17"/>
    <blip r:id="rId18"/>
  </webImageSrd>
  <webImageSrd>
    <address r:id="rId19"/>
    <blip r:id="rId20"/>
  </webImageSrd>
  <webImageSrd>
    <address r:id="rId21"/>
    <blip r:id="rId22"/>
  </webImageSrd>
  <webImageSrd>
    <address r:id="rId23"/>
    <blip r:id="rId24"/>
  </webImageSrd>
  <webImageSrd>
    <address r:id="rId25"/>
    <blip r:id="rId26"/>
  </webImageSrd>
  <webImageSrd>
    <address r:id="rId27"/>
    <blip r:id="rId28"/>
  </webImageSrd>
  <webImageSrd>
    <address r:id="rId29"/>
    <blip r:id="rId30"/>
  </webImageSrd>
  <webImageSrd>
    <address r:id="rId31"/>
    <blip r:id="rId32"/>
  </webImageSrd>
  <webImageSrd>
    <address r:id="rId33"/>
    <blip r:id="rId34"/>
  </webImageSrd>
  <webImageSrd>
    <address r:id="rId35"/>
    <blip r:id="rId36"/>
  </webImageSrd>
  <webImageSrd>
    <address r:id="rId37"/>
    <blip r:id="rId38"/>
  </webImageSrd>
  <webImageSrd>
    <address r:id="rId39"/>
    <blip r:id="rId40"/>
  </webImageSrd>
  <webImageSrd>
    <address r:id="rId41"/>
    <blip r:id="rId42"/>
  </webImageSrd>
  <webImageSrd>
    <address r:id="rId43"/>
    <blip r:id="rId44"/>
  </webImageSrd>
  <webImageSrd>
    <address r:id="rId45"/>
    <blip r:id="rId46"/>
  </webImageSrd>
  <webImageSrd>
    <address r:id="rId47"/>
    <blip r:id="rId48"/>
  </webImageSrd>
  <webImageSrd>
    <address r:id="rId49"/>
    <blip r:id="rId50"/>
  </webImageSrd>
  <webImageSrd>
    <address r:id="rId51"/>
    <blip r:id="rId52"/>
  </webImageSrd>
  <webImageSrd>
    <address r:id="rId53"/>
    <blip r:id="rId54"/>
  </webImageSrd>
  <webImageSrd>
    <address r:id="rId55"/>
    <blip r:id="rId56"/>
  </webImageSrd>
  <webImageSrd>
    <address r:id="rId57"/>
    <blip r:id="rId58"/>
  </webImageSrd>
  <webImageSrd>
    <address r:id="rId59"/>
    <blip r:id="rId60"/>
  </webImageSrd>
  <webImageSrd>
    <address r:id="rId61"/>
    <blip r:id="rId62"/>
  </webImageSrd>
  <webImageSrd>
    <address r:id="rId63"/>
    <blip r:id="rId64"/>
  </webImageSrd>
  <webImageSrd>
    <address r:id="rId65"/>
    <blip r:id="rId66"/>
  </webImageSrd>
  <webImageSrd>
    <address r:id="rId67"/>
    <blip r:id="rId68"/>
  </webImageSrd>
  <webImageSrd>
    <address r:id="rId69"/>
    <blip r:id="rId70"/>
  </webImageSrd>
  <webImageSrd>
    <address r:id="rId71"/>
    <blip r:id="rId72"/>
  </webImageSrd>
  <webImageSrd>
    <address r:id="rId73"/>
    <blip r:id="rId74"/>
  </webImageSrd>
  <webImageSrd>
    <address r:id="rId75"/>
    <blip r:id="rId76"/>
  </webImageSrd>
  <webImageSrd>
    <address r:id="rId77"/>
    <blip r:id="rId78"/>
  </webImageSrd>
  <webImageSrd>
    <address r:id="rId79"/>
    <blip r:id="rId80"/>
  </webImageSrd>
  <webImageSrd>
    <address r:id="rId81"/>
    <blip r:id="rId82"/>
  </webImageSrd>
  <webImageSrd>
    <address r:id="rId83"/>
    <blip r:id="rId84"/>
  </webImageSrd>
  <webImageSrd>
    <address r:id="rId85"/>
    <blip r:id="rId86"/>
  </webImageSrd>
  <webImageSrd>
    <address r:id="rId87"/>
    <blip r:id="rId88"/>
  </webImageSrd>
  <webImageSrd>
    <address r:id="rId89"/>
    <blip r:id="rId90"/>
  </webImageSrd>
  <webImageSrd>
    <address r:id="rId91"/>
    <blip r:id="rId92"/>
  </webImageSrd>
  <webImageSrd>
    <address r:id="rId93"/>
    <blip r:id="rId94"/>
  </webImageSrd>
  <webImageSrd>
    <address r:id="rId95"/>
    <blip r:id="rId96"/>
  </webImageSrd>
</webImagesSrd>
</file>

<file path=xl/richData/rdrichvalue.xml><?xml version="1.0" encoding="utf-8"?>
<rvData xmlns="http://schemas.microsoft.com/office/spreadsheetml/2017/richdata" count="48">
  <rv s="0">
    <v>0</v>
    <v>1</v>
    <v>0</v>
    <v>0</v>
  </rv>
  <rv s="0">
    <v>1</v>
    <v>1</v>
    <v>0</v>
    <v>0</v>
  </rv>
  <rv s="0">
    <v>2</v>
    <v>1</v>
    <v>0</v>
    <v>0</v>
  </rv>
  <rv s="0">
    <v>3</v>
    <v>1</v>
    <v>0</v>
    <v>0</v>
  </rv>
  <rv s="0">
    <v>4</v>
    <v>1</v>
    <v>0</v>
    <v>0</v>
  </rv>
  <rv s="0">
    <v>5</v>
    <v>1</v>
    <v>0</v>
    <v>0</v>
  </rv>
  <rv s="0">
    <v>6</v>
    <v>1</v>
    <v>0</v>
    <v>0</v>
  </rv>
  <rv s="0">
    <v>7</v>
    <v>1</v>
    <v>0</v>
    <v>0</v>
  </rv>
  <rv s="0">
    <v>8</v>
    <v>1</v>
    <v>0</v>
    <v>0</v>
  </rv>
  <rv s="0">
    <v>9</v>
    <v>1</v>
    <v>0</v>
    <v>0</v>
  </rv>
  <rv s="0">
    <v>10</v>
    <v>1</v>
    <v>0</v>
    <v>0</v>
  </rv>
  <rv s="0">
    <v>11</v>
    <v>1</v>
    <v>0</v>
    <v>0</v>
  </rv>
  <rv s="0">
    <v>12</v>
    <v>1</v>
    <v>0</v>
    <v>0</v>
  </rv>
  <rv s="0">
    <v>13</v>
    <v>1</v>
    <v>0</v>
    <v>0</v>
  </rv>
  <rv s="0">
    <v>14</v>
    <v>1</v>
    <v>0</v>
    <v>0</v>
  </rv>
  <rv s="0">
    <v>15</v>
    <v>1</v>
    <v>0</v>
    <v>0</v>
  </rv>
  <rv s="0">
    <v>16</v>
    <v>1</v>
    <v>0</v>
    <v>0</v>
  </rv>
  <rv s="0">
    <v>17</v>
    <v>1</v>
    <v>0</v>
    <v>0</v>
  </rv>
  <rv s="0">
    <v>18</v>
    <v>1</v>
    <v>0</v>
    <v>0</v>
  </rv>
  <rv s="0">
    <v>19</v>
    <v>1</v>
    <v>0</v>
    <v>0</v>
  </rv>
  <rv s="0">
    <v>20</v>
    <v>1</v>
    <v>0</v>
    <v>0</v>
  </rv>
  <rv s="0">
    <v>21</v>
    <v>1</v>
    <v>0</v>
    <v>0</v>
  </rv>
  <rv s="0">
    <v>22</v>
    <v>1</v>
    <v>0</v>
    <v>0</v>
  </rv>
  <rv s="0">
    <v>23</v>
    <v>1</v>
    <v>0</v>
    <v>0</v>
  </rv>
  <rv s="0">
    <v>24</v>
    <v>1</v>
    <v>0</v>
    <v>0</v>
  </rv>
  <rv s="0">
    <v>25</v>
    <v>1</v>
    <v>0</v>
    <v>0</v>
  </rv>
  <rv s="0">
    <v>26</v>
    <v>1</v>
    <v>0</v>
    <v>0</v>
  </rv>
  <rv s="0">
    <v>27</v>
    <v>1</v>
    <v>0</v>
    <v>0</v>
  </rv>
  <rv s="0">
    <v>28</v>
    <v>1</v>
    <v>0</v>
    <v>0</v>
  </rv>
  <rv s="0">
    <v>29</v>
    <v>1</v>
    <v>0</v>
    <v>0</v>
  </rv>
  <rv s="0">
    <v>30</v>
    <v>1</v>
    <v>0</v>
    <v>0</v>
  </rv>
  <rv s="0">
    <v>31</v>
    <v>1</v>
    <v>0</v>
    <v>0</v>
  </rv>
  <rv s="0">
    <v>32</v>
    <v>1</v>
    <v>0</v>
    <v>0</v>
  </rv>
  <rv s="0">
    <v>33</v>
    <v>1</v>
    <v>0</v>
    <v>0</v>
  </rv>
  <rv s="0">
    <v>34</v>
    <v>1</v>
    <v>0</v>
    <v>0</v>
  </rv>
  <rv s="0">
    <v>35</v>
    <v>1</v>
    <v>0</v>
    <v>0</v>
  </rv>
  <rv s="0">
    <v>36</v>
    <v>1</v>
    <v>0</v>
    <v>0</v>
  </rv>
  <rv s="0">
    <v>37</v>
    <v>1</v>
    <v>0</v>
    <v>0</v>
  </rv>
  <rv s="0">
    <v>38</v>
    <v>1</v>
    <v>0</v>
    <v>0</v>
  </rv>
  <rv s="0">
    <v>39</v>
    <v>1</v>
    <v>0</v>
    <v>0</v>
  </rv>
  <rv s="0">
    <v>40</v>
    <v>1</v>
    <v>0</v>
    <v>0</v>
  </rv>
  <rv s="0">
    <v>41</v>
    <v>1</v>
    <v>0</v>
    <v>0</v>
  </rv>
  <rv s="0">
    <v>42</v>
    <v>1</v>
    <v>0</v>
    <v>0</v>
  </rv>
  <rv s="0">
    <v>43</v>
    <v>1</v>
    <v>0</v>
    <v>0</v>
  </rv>
  <rv s="0">
    <v>44</v>
    <v>1</v>
    <v>0</v>
    <v>0</v>
  </rv>
  <rv s="0">
    <v>45</v>
    <v>1</v>
    <v>0</v>
    <v>0</v>
  </rv>
  <rv s="0">
    <v>46</v>
    <v>1</v>
    <v>0</v>
    <v>0</v>
  </rv>
  <rv s="0">
    <v>47</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FCF8B-6979-46D2-A22D-0412E8EA3650}">
  <dimension ref="A1:X26"/>
  <sheetViews>
    <sheetView tabSelected="1" workbookViewId="0">
      <selection activeCell="P26" sqref="P26"/>
    </sheetView>
  </sheetViews>
  <sheetFormatPr defaultRowHeight="15" x14ac:dyDescent="0.25"/>
  <cols>
    <col min="1" max="1" width="16.42578125" bestFit="1" customWidth="1"/>
    <col min="5" max="5" width="16.42578125" bestFit="1" customWidth="1"/>
    <col min="6" max="6" width="12.140625" customWidth="1"/>
    <col min="7" max="7" width="10.28515625" customWidth="1"/>
    <col min="9" max="9" width="16.42578125" bestFit="1" customWidth="1"/>
    <col min="10" max="10" width="12.140625" customWidth="1"/>
    <col min="11" max="11" width="10.28515625" customWidth="1"/>
    <col min="13" max="13" width="19.28515625" bestFit="1" customWidth="1"/>
    <col min="15" max="15" width="9" customWidth="1"/>
    <col min="17" max="17" width="18.5703125" bestFit="1" customWidth="1"/>
  </cols>
  <sheetData>
    <row r="1" spans="1:24" x14ac:dyDescent="0.25">
      <c r="A1" s="33" t="s">
        <v>0</v>
      </c>
      <c r="B1" s="34"/>
      <c r="C1" s="35"/>
      <c r="E1" s="33" t="s">
        <v>1</v>
      </c>
      <c r="F1" s="34"/>
      <c r="G1" s="35"/>
      <c r="I1" s="33" t="s">
        <v>2</v>
      </c>
      <c r="J1" s="34"/>
      <c r="K1" s="35"/>
      <c r="M1" s="36" t="s">
        <v>3</v>
      </c>
      <c r="N1" s="37"/>
      <c r="O1" s="24" t="s">
        <v>4</v>
      </c>
      <c r="P1" s="22">
        <v>2</v>
      </c>
      <c r="Q1" s="24" t="s">
        <v>5</v>
      </c>
      <c r="R1" s="17">
        <v>2</v>
      </c>
    </row>
    <row r="2" spans="1:24" x14ac:dyDescent="0.25">
      <c r="A2" s="5" t="s">
        <v>6</v>
      </c>
      <c r="B2" s="6" t="s">
        <v>7</v>
      </c>
      <c r="C2" s="7" t="s">
        <v>8</v>
      </c>
      <c r="E2" s="5" t="s">
        <v>6</v>
      </c>
      <c r="F2" s="6" t="s">
        <v>7</v>
      </c>
      <c r="G2" s="7" t="s">
        <v>8</v>
      </c>
      <c r="I2" s="5" t="s">
        <v>6</v>
      </c>
      <c r="J2" s="6" t="s">
        <v>7</v>
      </c>
      <c r="K2" s="7" t="s">
        <v>8</v>
      </c>
      <c r="M2" s="12" t="s">
        <v>9</v>
      </c>
      <c r="N2" s="26">
        <f>SUM(Q2/R1)*0.5</f>
        <v>0</v>
      </c>
      <c r="O2" s="47" t="s">
        <v>10</v>
      </c>
      <c r="P2" s="48"/>
      <c r="Q2" s="23">
        <f>(COUNTA(A3:A26) + COUNTA(E3:E26) + COUNTA(I3:I26))*P1</f>
        <v>0</v>
      </c>
      <c r="R2" s="25"/>
    </row>
    <row r="3" spans="1:24" x14ac:dyDescent="0.25">
      <c r="A3" s="13"/>
      <c r="B3" s="13"/>
      <c r="C3" s="13"/>
      <c r="E3" s="13"/>
      <c r="F3" s="13"/>
      <c r="G3" s="13"/>
      <c r="I3" s="13"/>
      <c r="J3" s="13"/>
      <c r="K3" s="13"/>
      <c r="M3" s="3" t="s">
        <v>11</v>
      </c>
      <c r="N3" s="26">
        <f>SUM(Q2/R1)*0.2</f>
        <v>0</v>
      </c>
    </row>
    <row r="4" spans="1:24" x14ac:dyDescent="0.25">
      <c r="A4" s="13"/>
      <c r="B4" s="1"/>
      <c r="C4" s="1"/>
      <c r="E4" s="13"/>
      <c r="F4" s="1"/>
      <c r="G4" s="1"/>
      <c r="I4" s="13"/>
      <c r="J4" s="1"/>
      <c r="K4" s="1"/>
      <c r="M4" s="3" t="s">
        <v>12</v>
      </c>
      <c r="N4" s="26">
        <f>SUM(Q2/R1)*0.1</f>
        <v>0</v>
      </c>
    </row>
    <row r="5" spans="1:24" x14ac:dyDescent="0.25">
      <c r="A5" s="13"/>
      <c r="B5" s="1"/>
      <c r="C5" s="1"/>
      <c r="E5" s="13"/>
      <c r="F5" s="1"/>
      <c r="G5" s="1"/>
      <c r="I5" s="13"/>
      <c r="J5" s="1"/>
      <c r="K5" s="1"/>
      <c r="M5" s="3" t="s">
        <v>13</v>
      </c>
      <c r="N5" s="26">
        <f>SUM(Q2/R1)*0.1</f>
        <v>0</v>
      </c>
    </row>
    <row r="6" spans="1:24" x14ac:dyDescent="0.25">
      <c r="A6" s="13"/>
      <c r="B6" s="1"/>
      <c r="C6" s="1"/>
      <c r="E6" s="13"/>
      <c r="F6" s="1"/>
      <c r="G6" s="1"/>
      <c r="I6" s="13"/>
      <c r="J6" s="1"/>
      <c r="K6" s="1"/>
      <c r="M6" s="5" t="s">
        <v>14</v>
      </c>
      <c r="N6" s="27">
        <f>SUM(Q2/R1)*0.1</f>
        <v>0</v>
      </c>
    </row>
    <row r="7" spans="1:24" x14ac:dyDescent="0.25">
      <c r="A7" s="13"/>
      <c r="B7" s="1"/>
      <c r="C7" s="1"/>
      <c r="E7" s="13"/>
      <c r="F7" s="1"/>
      <c r="G7" s="1"/>
      <c r="I7" s="13"/>
      <c r="J7" s="1"/>
      <c r="K7" s="1"/>
    </row>
    <row r="8" spans="1:24" x14ac:dyDescent="0.25">
      <c r="A8" s="13"/>
      <c r="B8" s="1"/>
      <c r="C8" s="1"/>
      <c r="E8" s="13"/>
      <c r="F8" s="1"/>
      <c r="G8" s="1"/>
      <c r="I8" s="13"/>
      <c r="J8" s="1"/>
      <c r="K8" s="1"/>
      <c r="M8" s="44" t="s">
        <v>15</v>
      </c>
      <c r="N8" s="45"/>
      <c r="O8" s="45"/>
      <c r="P8" s="45"/>
      <c r="Q8" s="45"/>
      <c r="R8" s="45"/>
      <c r="S8" s="45"/>
      <c r="T8" s="45"/>
      <c r="U8" s="45"/>
      <c r="V8" s="45"/>
      <c r="W8" s="45"/>
      <c r="X8" s="46"/>
    </row>
    <row r="9" spans="1:24" ht="15" customHeight="1" x14ac:dyDescent="0.25">
      <c r="A9" s="13"/>
      <c r="B9" s="1"/>
      <c r="C9" s="1"/>
      <c r="E9" s="13"/>
      <c r="F9" s="1"/>
      <c r="G9" s="1"/>
      <c r="I9" s="13"/>
      <c r="J9" s="1"/>
      <c r="K9" s="1"/>
      <c r="M9" s="38" t="s">
        <v>16</v>
      </c>
      <c r="N9" s="39"/>
      <c r="O9" s="39"/>
      <c r="P9" s="39"/>
      <c r="Q9" s="39"/>
      <c r="R9" s="39"/>
      <c r="S9" s="39"/>
      <c r="T9" s="39"/>
      <c r="U9" s="39"/>
      <c r="V9" s="39"/>
      <c r="W9" s="39"/>
      <c r="X9" s="40"/>
    </row>
    <row r="10" spans="1:24" x14ac:dyDescent="0.25">
      <c r="A10" s="13"/>
      <c r="B10" s="1"/>
      <c r="C10" s="1"/>
      <c r="E10" s="13"/>
      <c r="F10" s="1"/>
      <c r="G10" s="1"/>
      <c r="I10" s="13"/>
      <c r="J10" s="1"/>
      <c r="K10" s="1"/>
      <c r="M10" s="38"/>
      <c r="N10" s="39"/>
      <c r="O10" s="39"/>
      <c r="P10" s="39"/>
      <c r="Q10" s="39"/>
      <c r="R10" s="39"/>
      <c r="S10" s="39"/>
      <c r="T10" s="39"/>
      <c r="U10" s="39"/>
      <c r="V10" s="39"/>
      <c r="W10" s="39"/>
      <c r="X10" s="40"/>
    </row>
    <row r="11" spans="1:24" x14ac:dyDescent="0.25">
      <c r="A11" s="13"/>
      <c r="B11" s="1"/>
      <c r="C11" s="1"/>
      <c r="E11" s="13"/>
      <c r="F11" s="1"/>
      <c r="G11" s="1"/>
      <c r="I11" s="13"/>
      <c r="J11" s="1"/>
      <c r="K11" s="1"/>
      <c r="M11" s="38"/>
      <c r="N11" s="39"/>
      <c r="O11" s="39"/>
      <c r="P11" s="39"/>
      <c r="Q11" s="39"/>
      <c r="R11" s="39"/>
      <c r="S11" s="39"/>
      <c r="T11" s="39"/>
      <c r="U11" s="39"/>
      <c r="V11" s="39"/>
      <c r="W11" s="39"/>
      <c r="X11" s="40"/>
    </row>
    <row r="12" spans="1:24" x14ac:dyDescent="0.25">
      <c r="A12" s="13"/>
      <c r="B12" s="1"/>
      <c r="C12" s="1"/>
      <c r="E12" s="13"/>
      <c r="F12" s="1"/>
      <c r="G12" s="1"/>
      <c r="I12" s="13"/>
      <c r="J12" s="1"/>
      <c r="K12" s="1"/>
      <c r="M12" s="38"/>
      <c r="N12" s="39"/>
      <c r="O12" s="39"/>
      <c r="P12" s="39"/>
      <c r="Q12" s="39"/>
      <c r="R12" s="39"/>
      <c r="S12" s="39"/>
      <c r="T12" s="39"/>
      <c r="U12" s="39"/>
      <c r="V12" s="39"/>
      <c r="W12" s="39"/>
      <c r="X12" s="40"/>
    </row>
    <row r="13" spans="1:24" x14ac:dyDescent="0.25">
      <c r="A13" s="13"/>
      <c r="B13" s="1"/>
      <c r="C13" s="1"/>
      <c r="E13" s="13"/>
      <c r="F13" s="1"/>
      <c r="G13" s="1"/>
      <c r="I13" s="13"/>
      <c r="J13" s="1"/>
      <c r="K13" s="1"/>
      <c r="M13" s="38"/>
      <c r="N13" s="39"/>
      <c r="O13" s="39"/>
      <c r="P13" s="39"/>
      <c r="Q13" s="39"/>
      <c r="R13" s="39"/>
      <c r="S13" s="39"/>
      <c r="T13" s="39"/>
      <c r="U13" s="39"/>
      <c r="V13" s="39"/>
      <c r="W13" s="39"/>
      <c r="X13" s="40"/>
    </row>
    <row r="14" spans="1:24" x14ac:dyDescent="0.25">
      <c r="A14" s="13"/>
      <c r="B14" s="1"/>
      <c r="C14" s="1"/>
      <c r="E14" s="13"/>
      <c r="F14" s="1"/>
      <c r="G14" s="1"/>
      <c r="I14" s="13"/>
      <c r="J14" s="1"/>
      <c r="K14" s="1"/>
      <c r="M14" s="38"/>
      <c r="N14" s="39"/>
      <c r="O14" s="39"/>
      <c r="P14" s="39"/>
      <c r="Q14" s="39"/>
      <c r="R14" s="39"/>
      <c r="S14" s="39"/>
      <c r="T14" s="39"/>
      <c r="U14" s="39"/>
      <c r="V14" s="39"/>
      <c r="W14" s="39"/>
      <c r="X14" s="40"/>
    </row>
    <row r="15" spans="1:24" x14ac:dyDescent="0.25">
      <c r="A15" s="13"/>
      <c r="B15" s="1"/>
      <c r="C15" s="1"/>
      <c r="E15" s="13"/>
      <c r="F15" s="1"/>
      <c r="G15" s="1"/>
      <c r="I15" s="13"/>
      <c r="J15" s="1"/>
      <c r="K15" s="1"/>
      <c r="M15" s="41"/>
      <c r="N15" s="42"/>
      <c r="O15" s="42"/>
      <c r="P15" s="42"/>
      <c r="Q15" s="42"/>
      <c r="R15" s="42"/>
      <c r="S15" s="42"/>
      <c r="T15" s="42"/>
      <c r="U15" s="42"/>
      <c r="V15" s="42"/>
      <c r="W15" s="42"/>
      <c r="X15" s="43"/>
    </row>
    <row r="16" spans="1:24" x14ac:dyDescent="0.25">
      <c r="A16" s="13"/>
      <c r="B16" s="1"/>
      <c r="C16" s="1"/>
      <c r="E16" s="13"/>
      <c r="F16" s="1"/>
      <c r="G16" s="1"/>
      <c r="I16" s="13"/>
      <c r="J16" s="1"/>
      <c r="K16" s="1"/>
    </row>
    <row r="17" spans="1:24" x14ac:dyDescent="0.25">
      <c r="A17" s="13"/>
      <c r="B17" s="1"/>
      <c r="C17" s="1"/>
      <c r="E17" s="13"/>
      <c r="F17" s="1"/>
      <c r="G17" s="1"/>
      <c r="I17" s="13"/>
      <c r="J17" s="1"/>
      <c r="K17" s="1"/>
      <c r="M17" s="44" t="s">
        <v>17</v>
      </c>
      <c r="N17" s="45"/>
      <c r="O17" s="45"/>
      <c r="P17" s="45"/>
      <c r="Q17" s="45"/>
      <c r="R17" s="45"/>
      <c r="S17" s="45"/>
      <c r="T17" s="45"/>
      <c r="U17" s="45"/>
      <c r="V17" s="45"/>
      <c r="W17" s="45"/>
      <c r="X17" s="46"/>
    </row>
    <row r="18" spans="1:24" ht="15" customHeight="1" x14ac:dyDescent="0.25">
      <c r="A18" s="13"/>
      <c r="B18" s="1"/>
      <c r="C18" s="1"/>
      <c r="E18" s="13"/>
      <c r="F18" s="1"/>
      <c r="G18" s="1"/>
      <c r="I18" s="13"/>
      <c r="J18" s="1"/>
      <c r="K18" s="1"/>
      <c r="M18" s="38" t="s">
        <v>18</v>
      </c>
      <c r="N18" s="39"/>
      <c r="O18" s="39"/>
      <c r="P18" s="39"/>
      <c r="Q18" s="39"/>
      <c r="R18" s="39"/>
      <c r="S18" s="39"/>
      <c r="T18" s="39"/>
      <c r="U18" s="39"/>
      <c r="V18" s="39"/>
      <c r="W18" s="39"/>
      <c r="X18" s="40"/>
    </row>
    <row r="19" spans="1:24" x14ac:dyDescent="0.25">
      <c r="A19" s="13"/>
      <c r="B19" s="1"/>
      <c r="C19" s="1"/>
      <c r="E19" s="13"/>
      <c r="F19" s="1"/>
      <c r="G19" s="1"/>
      <c r="I19" s="13"/>
      <c r="J19" s="1"/>
      <c r="K19" s="1"/>
      <c r="M19" s="38"/>
      <c r="N19" s="39"/>
      <c r="O19" s="39"/>
      <c r="P19" s="39"/>
      <c r="Q19" s="39"/>
      <c r="R19" s="39"/>
      <c r="S19" s="39"/>
      <c r="T19" s="39"/>
      <c r="U19" s="39"/>
      <c r="V19" s="39"/>
      <c r="W19" s="39"/>
      <c r="X19" s="40"/>
    </row>
    <row r="20" spans="1:24" x14ac:dyDescent="0.25">
      <c r="A20" s="13"/>
      <c r="B20" s="1"/>
      <c r="C20" s="1"/>
      <c r="E20" s="13"/>
      <c r="F20" s="1"/>
      <c r="G20" s="1"/>
      <c r="I20" s="13"/>
      <c r="J20" s="1"/>
      <c r="K20" s="1"/>
      <c r="M20" s="38"/>
      <c r="N20" s="39"/>
      <c r="O20" s="39"/>
      <c r="P20" s="39"/>
      <c r="Q20" s="39"/>
      <c r="R20" s="39"/>
      <c r="S20" s="39"/>
      <c r="T20" s="39"/>
      <c r="U20" s="39"/>
      <c r="V20" s="39"/>
      <c r="W20" s="39"/>
      <c r="X20" s="40"/>
    </row>
    <row r="21" spans="1:24" x14ac:dyDescent="0.25">
      <c r="A21" s="13"/>
      <c r="B21" s="1"/>
      <c r="C21" s="1"/>
      <c r="E21" s="13"/>
      <c r="F21" s="1"/>
      <c r="G21" s="1"/>
      <c r="I21" s="13"/>
      <c r="J21" s="1"/>
      <c r="K21" s="1"/>
      <c r="M21" s="38"/>
      <c r="N21" s="39"/>
      <c r="O21" s="39"/>
      <c r="P21" s="39"/>
      <c r="Q21" s="39"/>
      <c r="R21" s="39"/>
      <c r="S21" s="39"/>
      <c r="T21" s="39"/>
      <c r="U21" s="39"/>
      <c r="V21" s="39"/>
      <c r="W21" s="39"/>
      <c r="X21" s="40"/>
    </row>
    <row r="22" spans="1:24" x14ac:dyDescent="0.25">
      <c r="A22" s="13"/>
      <c r="B22" s="1"/>
      <c r="C22" s="1"/>
      <c r="E22" s="13"/>
      <c r="F22" s="1"/>
      <c r="G22" s="1"/>
      <c r="I22" s="13"/>
      <c r="J22" s="1"/>
      <c r="K22" s="1"/>
      <c r="M22" s="38"/>
      <c r="N22" s="39"/>
      <c r="O22" s="39"/>
      <c r="P22" s="39"/>
      <c r="Q22" s="39"/>
      <c r="R22" s="39"/>
      <c r="S22" s="39"/>
      <c r="T22" s="39"/>
      <c r="U22" s="39"/>
      <c r="V22" s="39"/>
      <c r="W22" s="39"/>
      <c r="X22" s="40"/>
    </row>
    <row r="23" spans="1:24" x14ac:dyDescent="0.25">
      <c r="A23" s="13"/>
      <c r="B23" s="1"/>
      <c r="C23" s="1"/>
      <c r="E23" s="13"/>
      <c r="F23" s="1"/>
      <c r="G23" s="1"/>
      <c r="I23" s="13"/>
      <c r="J23" s="1"/>
      <c r="K23" s="1"/>
      <c r="M23" s="38"/>
      <c r="N23" s="39"/>
      <c r="O23" s="39"/>
      <c r="P23" s="39"/>
      <c r="Q23" s="39"/>
      <c r="R23" s="39"/>
      <c r="S23" s="39"/>
      <c r="T23" s="39"/>
      <c r="U23" s="39"/>
      <c r="V23" s="39"/>
      <c r="W23" s="39"/>
      <c r="X23" s="40"/>
    </row>
    <row r="24" spans="1:24" x14ac:dyDescent="0.25">
      <c r="A24" s="13"/>
      <c r="B24" s="1"/>
      <c r="C24" s="1"/>
      <c r="E24" s="13"/>
      <c r="F24" s="1"/>
      <c r="G24" s="1"/>
      <c r="I24" s="13"/>
      <c r="J24" s="1"/>
      <c r="K24" s="1"/>
      <c r="M24" s="41"/>
      <c r="N24" s="42"/>
      <c r="O24" s="42"/>
      <c r="P24" s="42"/>
      <c r="Q24" s="42"/>
      <c r="R24" s="42"/>
      <c r="S24" s="42"/>
      <c r="T24" s="42"/>
      <c r="U24" s="42"/>
      <c r="V24" s="42"/>
      <c r="W24" s="42"/>
      <c r="X24" s="43"/>
    </row>
    <row r="25" spans="1:24" x14ac:dyDescent="0.25">
      <c r="A25" s="13"/>
      <c r="B25" s="1"/>
      <c r="C25" s="1"/>
      <c r="E25" s="13"/>
      <c r="F25" s="1"/>
      <c r="G25" s="1"/>
      <c r="I25" s="13"/>
      <c r="J25" s="1"/>
      <c r="K25" s="1"/>
    </row>
    <row r="26" spans="1:24" x14ac:dyDescent="0.25">
      <c r="A26" s="13"/>
      <c r="B26" s="1"/>
      <c r="C26" s="1"/>
      <c r="E26" s="13"/>
      <c r="F26" s="1"/>
      <c r="G26" s="1"/>
      <c r="I26" s="13"/>
      <c r="J26" s="1"/>
      <c r="K26" s="1"/>
    </row>
  </sheetData>
  <sheetProtection sheet="1" objects="1" scenarios="1"/>
  <protectedRanges>
    <protectedRange sqref="A3:K51 P1 R1" name="Range1"/>
  </protectedRanges>
  <mergeCells count="9">
    <mergeCell ref="A1:C1"/>
    <mergeCell ref="E1:G1"/>
    <mergeCell ref="M1:N1"/>
    <mergeCell ref="M18:X24"/>
    <mergeCell ref="M17:X17"/>
    <mergeCell ref="I1:K1"/>
    <mergeCell ref="O2:P2"/>
    <mergeCell ref="M9:X15"/>
    <mergeCell ref="M8:X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1"/>
  <sheetViews>
    <sheetView workbookViewId="0">
      <selection activeCell="B9" sqref="B9:D9"/>
    </sheetView>
  </sheetViews>
  <sheetFormatPr defaultRowHeight="15" x14ac:dyDescent="0.25"/>
  <cols>
    <col min="1" max="1" width="20.42578125" bestFit="1" customWidth="1"/>
    <col min="6" max="6" width="14.85546875" bestFit="1" customWidth="1"/>
    <col min="7" max="7" width="13.85546875" bestFit="1" customWidth="1"/>
    <col min="9" max="9" width="18.42578125" bestFit="1" customWidth="1"/>
  </cols>
  <sheetData>
    <row r="1" spans="1:25" ht="15.75" thickBot="1" x14ac:dyDescent="0.3">
      <c r="A1" s="9" t="s">
        <v>19</v>
      </c>
      <c r="B1" s="10" t="s">
        <v>20</v>
      </c>
      <c r="C1" s="10" t="s">
        <v>21</v>
      </c>
      <c r="D1" s="10" t="s">
        <v>22</v>
      </c>
      <c r="E1" s="10" t="s">
        <v>23</v>
      </c>
      <c r="F1" s="10" t="s">
        <v>24</v>
      </c>
      <c r="G1" s="11" t="s">
        <v>14</v>
      </c>
      <c r="I1" t="s">
        <v>19</v>
      </c>
      <c r="K1" t="s">
        <v>23</v>
      </c>
      <c r="L1" t="s">
        <v>25</v>
      </c>
      <c r="N1" s="80" t="s">
        <v>180</v>
      </c>
      <c r="O1" s="81"/>
      <c r="P1" s="81"/>
      <c r="Q1" s="81"/>
      <c r="R1" s="81"/>
      <c r="S1" s="81"/>
      <c r="T1" s="81"/>
      <c r="U1" s="81"/>
      <c r="V1" s="81"/>
      <c r="W1" s="81"/>
      <c r="X1" s="81"/>
      <c r="Y1" s="82"/>
    </row>
    <row r="2" spans="1:25" ht="15" customHeight="1" x14ac:dyDescent="0.25">
      <c r="A2" s="12" t="s">
        <v>26</v>
      </c>
      <c r="B2" s="13"/>
      <c r="C2" s="13"/>
      <c r="D2" s="13"/>
      <c r="E2" s="13">
        <f>SUM(B2:D2)</f>
        <v>0</v>
      </c>
      <c r="F2" s="13"/>
      <c r="G2" s="14"/>
      <c r="I2" t="s">
        <v>27</v>
      </c>
      <c r="J2" t="str" cm="1">
        <f t="array" ref="J2">INDEX(A2:A5,MATCH(LARGE(B2:B5+C2:C5+D2:D5,1),B2:B5+C2:C5+D2:D5,0))</f>
        <v>Mexico</v>
      </c>
      <c r="N2" s="83" t="s">
        <v>181</v>
      </c>
      <c r="O2" s="84"/>
      <c r="P2" s="84"/>
      <c r="Q2" s="84"/>
      <c r="R2" s="84"/>
      <c r="S2" s="84"/>
      <c r="T2" s="84"/>
      <c r="U2" s="84"/>
      <c r="V2" s="84"/>
      <c r="W2" s="84"/>
      <c r="X2" s="84"/>
      <c r="Y2" s="85"/>
    </row>
    <row r="3" spans="1:25" x14ac:dyDescent="0.25">
      <c r="A3" s="3" t="s">
        <v>28</v>
      </c>
      <c r="B3" s="1"/>
      <c r="C3" s="1"/>
      <c r="D3" s="1"/>
      <c r="E3" s="13">
        <f t="shared" ref="E3:E65" si="0">SUM(B3:D3)</f>
        <v>0</v>
      </c>
      <c r="F3" s="1"/>
      <c r="G3" s="4"/>
      <c r="I3" t="s">
        <v>11</v>
      </c>
      <c r="J3" t="str" cm="1">
        <f t="array" ref="J3">INDEX(A2:A5,MATCH(LARGE(B2:B5+C2:C5+D2:D5,2),B2:B5+C2:C5+D2:D5,0))</f>
        <v>Mexico</v>
      </c>
      <c r="N3" s="86"/>
      <c r="O3" s="79"/>
      <c r="P3" s="79"/>
      <c r="Q3" s="79"/>
      <c r="R3" s="79"/>
      <c r="S3" s="79"/>
      <c r="T3" s="79"/>
      <c r="U3" s="79"/>
      <c r="V3" s="79"/>
      <c r="W3" s="79"/>
      <c r="X3" s="79"/>
      <c r="Y3" s="87"/>
    </row>
    <row r="4" spans="1:25" x14ac:dyDescent="0.25">
      <c r="A4" s="3" t="s">
        <v>29</v>
      </c>
      <c r="B4" s="1"/>
      <c r="C4" s="1"/>
      <c r="D4" s="1"/>
      <c r="E4" s="13">
        <f t="shared" si="0"/>
        <v>0</v>
      </c>
      <c r="F4" s="1"/>
      <c r="G4" s="4"/>
      <c r="I4" t="s">
        <v>30</v>
      </c>
      <c r="J4" t="str" cm="1">
        <f t="array" ref="J4">INDEX(A3:A6,MATCH(LARGE(B3:B6+C3:C6+D3:D6,3),B3:B6+C3:C6+D3:D6,0))</f>
        <v>South Africa</v>
      </c>
      <c r="K4">
        <f>LARGE(E2:E5,3)</f>
        <v>0</v>
      </c>
      <c r="N4" s="86"/>
      <c r="O4" s="79"/>
      <c r="P4" s="79"/>
      <c r="Q4" s="79"/>
      <c r="R4" s="79"/>
      <c r="S4" s="79"/>
      <c r="T4" s="79"/>
      <c r="U4" s="79"/>
      <c r="V4" s="79"/>
      <c r="W4" s="79"/>
      <c r="X4" s="79"/>
      <c r="Y4" s="87"/>
    </row>
    <row r="5" spans="1:25" ht="15.75" thickBot="1" x14ac:dyDescent="0.3">
      <c r="A5" s="5" t="s">
        <v>31</v>
      </c>
      <c r="B5" s="6"/>
      <c r="C5" s="6"/>
      <c r="D5" s="6"/>
      <c r="E5" s="16">
        <f t="shared" si="0"/>
        <v>0</v>
      </c>
      <c r="F5" s="6"/>
      <c r="G5" s="7"/>
      <c r="N5" s="86"/>
      <c r="O5" s="79"/>
      <c r="P5" s="79"/>
      <c r="Q5" s="79"/>
      <c r="R5" s="79"/>
      <c r="S5" s="79"/>
      <c r="T5" s="79"/>
      <c r="U5" s="79"/>
      <c r="V5" s="79"/>
      <c r="W5" s="79"/>
      <c r="X5" s="79"/>
      <c r="Y5" s="87"/>
    </row>
    <row r="6" spans="1:25" ht="15.75" thickBot="1" x14ac:dyDescent="0.3">
      <c r="A6" s="8"/>
      <c r="B6" s="8"/>
      <c r="C6" s="8"/>
      <c r="D6" s="8"/>
      <c r="E6" s="8"/>
      <c r="F6" s="8"/>
      <c r="G6" s="8"/>
      <c r="N6" s="86"/>
      <c r="O6" s="79"/>
      <c r="P6" s="79"/>
      <c r="Q6" s="79"/>
      <c r="R6" s="79"/>
      <c r="S6" s="79"/>
      <c r="T6" s="79"/>
      <c r="U6" s="79"/>
      <c r="V6" s="79"/>
      <c r="W6" s="79"/>
      <c r="X6" s="79"/>
      <c r="Y6" s="87"/>
    </row>
    <row r="7" spans="1:25" ht="15.75" thickBot="1" x14ac:dyDescent="0.3">
      <c r="A7" s="2" t="s">
        <v>32</v>
      </c>
      <c r="B7" s="10" t="s">
        <v>20</v>
      </c>
      <c r="C7" s="10" t="s">
        <v>21</v>
      </c>
      <c r="D7" s="10" t="s">
        <v>22</v>
      </c>
      <c r="E7" s="10" t="s">
        <v>23</v>
      </c>
      <c r="F7" s="10" t="s">
        <v>24</v>
      </c>
      <c r="G7" s="11" t="s">
        <v>14</v>
      </c>
      <c r="I7" t="s">
        <v>32</v>
      </c>
      <c r="N7" s="86"/>
      <c r="O7" s="79"/>
      <c r="P7" s="79"/>
      <c r="Q7" s="79"/>
      <c r="R7" s="79"/>
      <c r="S7" s="79"/>
      <c r="T7" s="79"/>
      <c r="U7" s="79"/>
      <c r="V7" s="79"/>
      <c r="W7" s="79"/>
      <c r="X7" s="79"/>
      <c r="Y7" s="87"/>
    </row>
    <row r="8" spans="1:25" x14ac:dyDescent="0.25">
      <c r="A8" s="3" t="s">
        <v>33</v>
      </c>
      <c r="B8" s="1"/>
      <c r="C8" s="1"/>
      <c r="D8" s="1"/>
      <c r="E8" s="13">
        <f>SUM(B8:D8)</f>
        <v>0</v>
      </c>
      <c r="F8" s="1"/>
      <c r="G8" s="4"/>
      <c r="I8" t="s">
        <v>27</v>
      </c>
      <c r="J8" t="str" cm="1">
        <f t="array" ref="J8">INDEX(A8:A11,MATCH(LARGE(B8:B11+C8:C11+D8:D11,1),B8:B11+C8:C11+D8:D11,0))</f>
        <v>Canada</v>
      </c>
      <c r="N8" s="86"/>
      <c r="O8" s="79"/>
      <c r="P8" s="79"/>
      <c r="Q8" s="79"/>
      <c r="R8" s="79"/>
      <c r="S8" s="79"/>
      <c r="T8" s="79"/>
      <c r="U8" s="79"/>
      <c r="V8" s="79"/>
      <c r="W8" s="79"/>
      <c r="X8" s="79"/>
      <c r="Y8" s="87"/>
    </row>
    <row r="9" spans="1:25" x14ac:dyDescent="0.25">
      <c r="A9" s="3" t="s">
        <v>34</v>
      </c>
      <c r="B9" s="1"/>
      <c r="C9" s="1"/>
      <c r="D9" s="1"/>
      <c r="E9" s="13">
        <f t="shared" si="0"/>
        <v>0</v>
      </c>
      <c r="F9" s="1"/>
      <c r="G9" s="4"/>
      <c r="I9" t="s">
        <v>11</v>
      </c>
      <c r="J9" t="str" cm="1">
        <f t="array" ref="J9">INDEX(A8:A11,MATCH(LARGE(B8:B11+C8:C11+D8:D11,2),B8:B11+C8:C11+D8:D11,0))</f>
        <v>Canada</v>
      </c>
      <c r="N9" s="86"/>
      <c r="O9" s="79"/>
      <c r="P9" s="79"/>
      <c r="Q9" s="79"/>
      <c r="R9" s="79"/>
      <c r="S9" s="79"/>
      <c r="T9" s="79"/>
      <c r="U9" s="79"/>
      <c r="V9" s="79"/>
      <c r="W9" s="79"/>
      <c r="X9" s="79"/>
      <c r="Y9" s="87"/>
    </row>
    <row r="10" spans="1:25" x14ac:dyDescent="0.25">
      <c r="A10" s="3" t="s">
        <v>35</v>
      </c>
      <c r="B10" s="1"/>
      <c r="C10" s="1"/>
      <c r="D10" s="1"/>
      <c r="E10" s="13">
        <f t="shared" si="0"/>
        <v>0</v>
      </c>
      <c r="F10" s="1"/>
      <c r="G10" s="4"/>
      <c r="I10" t="s">
        <v>30</v>
      </c>
      <c r="J10" t="str" cm="1">
        <f t="array" ref="J10">INDEX(A9:A12,MATCH(LARGE(B9:B12+C9:C12+D9:D12,3),B9:B12+C9:C12+D9:D12,0))</f>
        <v>Bosnia &amp; Herzegovina</v>
      </c>
      <c r="K10">
        <f>LARGE(E8:E11,3)</f>
        <v>0</v>
      </c>
      <c r="N10" s="86"/>
      <c r="O10" s="79"/>
      <c r="P10" s="79"/>
      <c r="Q10" s="79"/>
      <c r="R10" s="79"/>
      <c r="S10" s="79"/>
      <c r="T10" s="79"/>
      <c r="U10" s="79"/>
      <c r="V10" s="79"/>
      <c r="W10" s="79"/>
      <c r="X10" s="79"/>
      <c r="Y10" s="87"/>
    </row>
    <row r="11" spans="1:25" ht="15.75" thickBot="1" x14ac:dyDescent="0.3">
      <c r="A11" s="5" t="s">
        <v>36</v>
      </c>
      <c r="B11" s="6"/>
      <c r="C11" s="6"/>
      <c r="D11" s="6"/>
      <c r="E11" s="16">
        <f t="shared" si="0"/>
        <v>0</v>
      </c>
      <c r="F11" s="6"/>
      <c r="G11" s="7"/>
      <c r="N11" s="86"/>
      <c r="O11" s="79"/>
      <c r="P11" s="79"/>
      <c r="Q11" s="79"/>
      <c r="R11" s="79"/>
      <c r="S11" s="79"/>
      <c r="T11" s="79"/>
      <c r="U11" s="79"/>
      <c r="V11" s="79"/>
      <c r="W11" s="79"/>
      <c r="X11" s="79"/>
      <c r="Y11" s="87"/>
    </row>
    <row r="12" spans="1:25" ht="15.75" thickBot="1" x14ac:dyDescent="0.3">
      <c r="A12" s="8"/>
      <c r="B12" s="8"/>
      <c r="C12" s="8"/>
      <c r="D12" s="8"/>
      <c r="E12" s="8"/>
      <c r="F12" s="8"/>
      <c r="G12" s="8"/>
      <c r="N12" s="86"/>
      <c r="O12" s="79"/>
      <c r="P12" s="79"/>
      <c r="Q12" s="79"/>
      <c r="R12" s="79"/>
      <c r="S12" s="79"/>
      <c r="T12" s="79"/>
      <c r="U12" s="79"/>
      <c r="V12" s="79"/>
      <c r="W12" s="79"/>
      <c r="X12" s="79"/>
      <c r="Y12" s="87"/>
    </row>
    <row r="13" spans="1:25" ht="15.75" thickBot="1" x14ac:dyDescent="0.3">
      <c r="A13" s="2" t="s">
        <v>37</v>
      </c>
      <c r="B13" s="10" t="s">
        <v>20</v>
      </c>
      <c r="C13" s="10" t="s">
        <v>21</v>
      </c>
      <c r="D13" s="10" t="s">
        <v>22</v>
      </c>
      <c r="E13" s="10" t="s">
        <v>23</v>
      </c>
      <c r="F13" s="10" t="s">
        <v>24</v>
      </c>
      <c r="G13" s="11" t="s">
        <v>14</v>
      </c>
      <c r="I13" t="s">
        <v>37</v>
      </c>
      <c r="N13" s="88"/>
      <c r="O13" s="89"/>
      <c r="P13" s="89"/>
      <c r="Q13" s="89"/>
      <c r="R13" s="89"/>
      <c r="S13" s="89"/>
      <c r="T13" s="89"/>
      <c r="U13" s="89"/>
      <c r="V13" s="89"/>
      <c r="W13" s="89"/>
      <c r="X13" s="89"/>
      <c r="Y13" s="90"/>
    </row>
    <row r="14" spans="1:25" x14ac:dyDescent="0.25">
      <c r="A14" s="3" t="s">
        <v>38</v>
      </c>
      <c r="B14" s="1"/>
      <c r="C14" s="1"/>
      <c r="D14" s="1"/>
      <c r="E14" s="13">
        <f>SUM(B14:D14)</f>
        <v>0</v>
      </c>
      <c r="F14" s="1"/>
      <c r="G14" s="4"/>
      <c r="I14" t="s">
        <v>27</v>
      </c>
      <c r="J14" t="str" cm="1">
        <f t="array" ref="J14">INDEX(A14:A17,MATCH(LARGE(B14:B17+C14:C17+D14:D17,1),B14:B17+C14:C17+D14:D17,0))</f>
        <v>Brasil</v>
      </c>
    </row>
    <row r="15" spans="1:25" x14ac:dyDescent="0.25">
      <c r="A15" s="3" t="s">
        <v>39</v>
      </c>
      <c r="B15" s="1"/>
      <c r="C15" s="1"/>
      <c r="D15" s="1"/>
      <c r="E15" s="13">
        <f t="shared" si="0"/>
        <v>0</v>
      </c>
      <c r="F15" s="1"/>
      <c r="G15" s="4"/>
      <c r="I15" t="s">
        <v>11</v>
      </c>
      <c r="J15" t="str" cm="1">
        <f t="array" ref="J15">INDEX(A14:A17,MATCH(LARGE(B14:B17+C14:C17+D14:D17,2),B14:B17+C14:C17+D14:D17,0))</f>
        <v>Brasil</v>
      </c>
    </row>
    <row r="16" spans="1:25" x14ac:dyDescent="0.25">
      <c r="A16" s="3" t="s">
        <v>40</v>
      </c>
      <c r="B16" s="1"/>
      <c r="C16" s="1"/>
      <c r="D16" s="1"/>
      <c r="E16" s="13">
        <f t="shared" si="0"/>
        <v>0</v>
      </c>
      <c r="F16" s="1"/>
      <c r="G16" s="4"/>
      <c r="I16" t="s">
        <v>30</v>
      </c>
      <c r="J16" t="str" cm="1">
        <f t="array" ref="J16">INDEX(A15:A18,MATCH(LARGE(B15:B18+C15:C18+D15:D18,3),B15:B18+C15:C18+D15:D18,0))</f>
        <v>Morocco</v>
      </c>
      <c r="K16">
        <f>LARGE(E14:E17,3)</f>
        <v>0</v>
      </c>
    </row>
    <row r="17" spans="1:11" x14ac:dyDescent="0.25">
      <c r="A17" s="5" t="s">
        <v>41</v>
      </c>
      <c r="B17" s="6"/>
      <c r="C17" s="6"/>
      <c r="D17" s="6"/>
      <c r="E17" s="16">
        <f t="shared" si="0"/>
        <v>0</v>
      </c>
      <c r="F17" s="6"/>
      <c r="G17" s="7"/>
    </row>
    <row r="18" spans="1:11" x14ac:dyDescent="0.25">
      <c r="A18" s="8"/>
      <c r="B18" s="8"/>
      <c r="C18" s="8"/>
      <c r="D18" s="8"/>
      <c r="E18" s="8"/>
      <c r="F18" s="8"/>
      <c r="G18" s="8"/>
    </row>
    <row r="19" spans="1:11" x14ac:dyDescent="0.25">
      <c r="A19" s="2" t="s">
        <v>42</v>
      </c>
      <c r="B19" s="10" t="s">
        <v>20</v>
      </c>
      <c r="C19" s="10" t="s">
        <v>21</v>
      </c>
      <c r="D19" s="10" t="s">
        <v>22</v>
      </c>
      <c r="E19" s="10" t="s">
        <v>23</v>
      </c>
      <c r="F19" s="10" t="s">
        <v>24</v>
      </c>
      <c r="G19" s="11" t="s">
        <v>14</v>
      </c>
      <c r="I19" t="s">
        <v>42</v>
      </c>
    </row>
    <row r="20" spans="1:11" x14ac:dyDescent="0.25">
      <c r="A20" s="3" t="s">
        <v>43</v>
      </c>
      <c r="B20" s="1"/>
      <c r="C20" s="1"/>
      <c r="D20" s="1"/>
      <c r="E20" s="13">
        <f>SUM(B20:D20)</f>
        <v>0</v>
      </c>
      <c r="F20" s="1"/>
      <c r="G20" s="4"/>
      <c r="I20" t="s">
        <v>27</v>
      </c>
      <c r="J20" t="str" cm="1">
        <f t="array" ref="J20">INDEX(A20:A23,MATCH(LARGE(B20:B23+C20:C23+D20:D23,1),B20:B23+C20:C23+D20:D23,0))</f>
        <v>USA</v>
      </c>
    </row>
    <row r="21" spans="1:11" x14ac:dyDescent="0.25">
      <c r="A21" s="3" t="s">
        <v>44</v>
      </c>
      <c r="B21" s="1"/>
      <c r="C21" s="1"/>
      <c r="D21" s="1"/>
      <c r="E21" s="13">
        <f t="shared" si="0"/>
        <v>0</v>
      </c>
      <c r="F21" s="1"/>
      <c r="G21" s="4"/>
      <c r="I21" t="s">
        <v>11</v>
      </c>
      <c r="J21" t="str" cm="1">
        <f t="array" ref="J21">INDEX(A20:A23,MATCH(LARGE(B20:B23+C20:C23+D20:D23,2),B20:B23+C20:C23+D20:D23,0))</f>
        <v>USA</v>
      </c>
    </row>
    <row r="22" spans="1:11" x14ac:dyDescent="0.25">
      <c r="A22" s="3" t="s">
        <v>45</v>
      </c>
      <c r="B22" s="1"/>
      <c r="C22" s="1"/>
      <c r="D22" s="1"/>
      <c r="E22" s="13">
        <f t="shared" si="0"/>
        <v>0</v>
      </c>
      <c r="F22" s="1"/>
      <c r="G22" s="4"/>
      <c r="I22" t="s">
        <v>30</v>
      </c>
      <c r="J22" t="str" cm="1">
        <f t="array" ref="J22">INDEX(A21:A24,MATCH(LARGE(B21:B24+C21:C24+D21:D24,3),B21:B24+C21:C24+D21:D24,0))</f>
        <v>Paraguay</v>
      </c>
      <c r="K22">
        <f>LARGE(E20:E23,3)</f>
        <v>0</v>
      </c>
    </row>
    <row r="23" spans="1:11" x14ac:dyDescent="0.25">
      <c r="A23" s="5" t="s">
        <v>46</v>
      </c>
      <c r="B23" s="6"/>
      <c r="C23" s="6"/>
      <c r="D23" s="6"/>
      <c r="E23" s="16">
        <f t="shared" si="0"/>
        <v>0</v>
      </c>
      <c r="F23" s="6"/>
      <c r="G23" s="7"/>
    </row>
    <row r="24" spans="1:11" x14ac:dyDescent="0.25">
      <c r="A24" s="8"/>
      <c r="B24" s="8"/>
      <c r="C24" s="8"/>
      <c r="D24" s="8"/>
      <c r="E24" s="8"/>
      <c r="F24" s="8"/>
      <c r="G24" s="8"/>
    </row>
    <row r="25" spans="1:11" x14ac:dyDescent="0.25">
      <c r="A25" s="2" t="s">
        <v>47</v>
      </c>
      <c r="B25" s="10" t="s">
        <v>20</v>
      </c>
      <c r="C25" s="10" t="s">
        <v>21</v>
      </c>
      <c r="D25" s="10" t="s">
        <v>22</v>
      </c>
      <c r="E25" s="10" t="s">
        <v>23</v>
      </c>
      <c r="F25" s="10" t="s">
        <v>24</v>
      </c>
      <c r="G25" s="11" t="s">
        <v>14</v>
      </c>
      <c r="I25" t="s">
        <v>47</v>
      </c>
    </row>
    <row r="26" spans="1:11" x14ac:dyDescent="0.25">
      <c r="A26" s="3" t="s">
        <v>48</v>
      </c>
      <c r="B26" s="1"/>
      <c r="C26" s="1"/>
      <c r="D26" s="1"/>
      <c r="E26" s="13">
        <f>SUM(B26:D26)</f>
        <v>0</v>
      </c>
      <c r="F26" s="1"/>
      <c r="G26" s="4"/>
      <c r="I26" t="s">
        <v>27</v>
      </c>
      <c r="J26" t="str" cm="1">
        <f t="array" ref="J26">INDEX(A26:A29,MATCH(LARGE(B26:B29+C26:C29+D26:D29,1),B26:B29+C26:C29+D26:D29,0))</f>
        <v>Germany</v>
      </c>
    </row>
    <row r="27" spans="1:11" x14ac:dyDescent="0.25">
      <c r="A27" s="3" t="s">
        <v>49</v>
      </c>
      <c r="B27" s="1"/>
      <c r="C27" s="1"/>
      <c r="D27" s="1"/>
      <c r="E27" s="13">
        <f t="shared" si="0"/>
        <v>0</v>
      </c>
      <c r="F27" s="1"/>
      <c r="G27" s="4"/>
      <c r="I27" t="s">
        <v>11</v>
      </c>
      <c r="J27" t="str" cm="1">
        <f t="array" ref="J27">INDEX(A26:A29,MATCH(LARGE(B26:B29+C26:C29+D26:D29,2),B26:B29+C26:C29+D26:D29,0))</f>
        <v>Germany</v>
      </c>
    </row>
    <row r="28" spans="1:11" x14ac:dyDescent="0.25">
      <c r="A28" s="3" t="s">
        <v>50</v>
      </c>
      <c r="B28" s="1"/>
      <c r="C28" s="1"/>
      <c r="D28" s="1"/>
      <c r="E28" s="13">
        <f t="shared" si="0"/>
        <v>0</v>
      </c>
      <c r="F28" s="1"/>
      <c r="G28" s="4"/>
      <c r="I28" t="s">
        <v>30</v>
      </c>
      <c r="J28" t="str" cm="1">
        <f t="array" ref="J28">INDEX(A27:A30,MATCH(LARGE(B27:B30+C27:C30+D27:D30,3),B27:B30+C27:C30+D27:D30,0))</f>
        <v>Curacao</v>
      </c>
      <c r="K28">
        <f>LARGE(E26:E29,3)</f>
        <v>0</v>
      </c>
    </row>
    <row r="29" spans="1:11" x14ac:dyDescent="0.25">
      <c r="A29" s="5" t="s">
        <v>51</v>
      </c>
      <c r="B29" s="6"/>
      <c r="C29" s="6"/>
      <c r="D29" s="6"/>
      <c r="E29" s="16">
        <f t="shared" si="0"/>
        <v>0</v>
      </c>
      <c r="F29" s="6"/>
      <c r="G29" s="7"/>
    </row>
    <row r="30" spans="1:11" x14ac:dyDescent="0.25">
      <c r="A30" s="8"/>
      <c r="B30" s="8"/>
      <c r="C30" s="8"/>
      <c r="D30" s="8"/>
      <c r="E30" s="8"/>
      <c r="F30" s="8"/>
      <c r="G30" s="8"/>
    </row>
    <row r="31" spans="1:11" x14ac:dyDescent="0.25">
      <c r="A31" s="2" t="s">
        <v>52</v>
      </c>
      <c r="B31" s="10" t="s">
        <v>20</v>
      </c>
      <c r="C31" s="10" t="s">
        <v>21</v>
      </c>
      <c r="D31" s="10" t="s">
        <v>22</v>
      </c>
      <c r="E31" s="10" t="s">
        <v>23</v>
      </c>
      <c r="F31" s="10" t="s">
        <v>24</v>
      </c>
      <c r="G31" s="11" t="s">
        <v>14</v>
      </c>
      <c r="I31" t="s">
        <v>52</v>
      </c>
    </row>
    <row r="32" spans="1:11" x14ac:dyDescent="0.25">
      <c r="A32" s="3" t="s">
        <v>53</v>
      </c>
      <c r="B32" s="1"/>
      <c r="C32" s="1"/>
      <c r="D32" s="1"/>
      <c r="E32" s="13">
        <f>SUM(B32:D32)</f>
        <v>0</v>
      </c>
      <c r="F32" s="1"/>
      <c r="G32" s="4"/>
      <c r="I32" t="s">
        <v>27</v>
      </c>
      <c r="J32" t="str" cm="1">
        <f t="array" ref="J32">INDEX(A32:A35,MATCH(LARGE(B32:B35+C32:C35+D32:D35,1),B32:B35+C32:C35+D32:D35,0))</f>
        <v>Netherlands</v>
      </c>
    </row>
    <row r="33" spans="1:11" x14ac:dyDescent="0.25">
      <c r="A33" s="3" t="s">
        <v>54</v>
      </c>
      <c r="B33" s="1"/>
      <c r="C33" s="1"/>
      <c r="D33" s="1"/>
      <c r="E33" s="13">
        <f t="shared" si="0"/>
        <v>0</v>
      </c>
      <c r="F33" s="1"/>
      <c r="G33" s="4"/>
      <c r="I33" t="s">
        <v>11</v>
      </c>
      <c r="J33" t="str" cm="1">
        <f t="array" ref="J33">INDEX(A32:A35,MATCH(LARGE(B32:B35+C32:C35+D32:D35,2),B32:B35+C32:C35+D32:D35,0))</f>
        <v>Netherlands</v>
      </c>
    </row>
    <row r="34" spans="1:11" x14ac:dyDescent="0.25">
      <c r="A34" s="3" t="s">
        <v>55</v>
      </c>
      <c r="B34" s="1"/>
      <c r="C34" s="1"/>
      <c r="D34" s="1"/>
      <c r="E34" s="13">
        <f t="shared" si="0"/>
        <v>0</v>
      </c>
      <c r="F34" s="1"/>
      <c r="G34" s="4"/>
      <c r="I34" t="s">
        <v>30</v>
      </c>
      <c r="J34" t="str" cm="1">
        <f t="array" ref="J34">INDEX(A33:A36,MATCH(LARGE(B33:B36+C33:C36+D33:D36,3),B33:B36+C33:C36+D33:D36,0))</f>
        <v>Japan</v>
      </c>
      <c r="K34">
        <f>LARGE(E32:E35,3)</f>
        <v>0</v>
      </c>
    </row>
    <row r="35" spans="1:11" x14ac:dyDescent="0.25">
      <c r="A35" s="5" t="s">
        <v>56</v>
      </c>
      <c r="B35" s="6"/>
      <c r="C35" s="6"/>
      <c r="D35" s="6"/>
      <c r="E35" s="16">
        <f t="shared" si="0"/>
        <v>0</v>
      </c>
      <c r="F35" s="6"/>
      <c r="G35" s="7"/>
    </row>
    <row r="36" spans="1:11" x14ac:dyDescent="0.25">
      <c r="A36" s="8"/>
      <c r="B36" s="8"/>
      <c r="C36" s="8"/>
      <c r="D36" s="8"/>
      <c r="E36" s="8"/>
      <c r="F36" s="8"/>
      <c r="G36" s="8"/>
    </row>
    <row r="37" spans="1:11" x14ac:dyDescent="0.25">
      <c r="A37" s="2" t="s">
        <v>57</v>
      </c>
      <c r="B37" s="10" t="s">
        <v>20</v>
      </c>
      <c r="C37" s="10" t="s">
        <v>21</v>
      </c>
      <c r="D37" s="10" t="s">
        <v>22</v>
      </c>
      <c r="E37" s="10" t="s">
        <v>23</v>
      </c>
      <c r="F37" s="10" t="s">
        <v>24</v>
      </c>
      <c r="G37" s="11" t="s">
        <v>14</v>
      </c>
      <c r="I37" t="s">
        <v>57</v>
      </c>
    </row>
    <row r="38" spans="1:11" x14ac:dyDescent="0.25">
      <c r="A38" s="3" t="s">
        <v>58</v>
      </c>
      <c r="B38" s="1"/>
      <c r="C38" s="1"/>
      <c r="D38" s="1"/>
      <c r="E38" s="13">
        <f>SUM(B38:D38)</f>
        <v>0</v>
      </c>
      <c r="F38" s="1"/>
      <c r="G38" s="4"/>
      <c r="I38" t="s">
        <v>27</v>
      </c>
      <c r="J38" t="str" cm="1">
        <f t="array" ref="J38">INDEX(A38:A41,MATCH(LARGE(B38:B41+C38:C41+D38:D41,1),B38:B41+C38:C41+D38:D41,0))</f>
        <v>Belgium</v>
      </c>
    </row>
    <row r="39" spans="1:11" x14ac:dyDescent="0.25">
      <c r="A39" s="3" t="s">
        <v>59</v>
      </c>
      <c r="B39" s="1"/>
      <c r="C39" s="1"/>
      <c r="D39" s="1"/>
      <c r="E39" s="13">
        <f t="shared" si="0"/>
        <v>0</v>
      </c>
      <c r="F39" s="1"/>
      <c r="G39" s="4"/>
      <c r="I39" t="s">
        <v>11</v>
      </c>
      <c r="J39" t="str" cm="1">
        <f t="array" ref="J39">INDEX(A38:A41,MATCH(LARGE(B38:B41+C38:C41+D38:D41,2),B38:B41+C38:C41+D38:D41,0))</f>
        <v>Belgium</v>
      </c>
    </row>
    <row r="40" spans="1:11" x14ac:dyDescent="0.25">
      <c r="A40" s="3" t="s">
        <v>60</v>
      </c>
      <c r="B40" s="1"/>
      <c r="C40" s="1"/>
      <c r="D40" s="1"/>
      <c r="E40" s="13">
        <f t="shared" si="0"/>
        <v>0</v>
      </c>
      <c r="F40" s="1"/>
      <c r="G40" s="4"/>
      <c r="I40" t="s">
        <v>30</v>
      </c>
      <c r="J40" t="str" cm="1">
        <f t="array" ref="J40">INDEX(A39:A42,MATCH(LARGE(B39:B42+C39:C42+D39:D42,3),B39:B42+C39:C42+D39:D42,0))</f>
        <v>Egypt</v>
      </c>
      <c r="K40">
        <f>LARGE(E38:E41,3)</f>
        <v>0</v>
      </c>
    </row>
    <row r="41" spans="1:11" x14ac:dyDescent="0.25">
      <c r="A41" s="5" t="s">
        <v>61</v>
      </c>
      <c r="B41" s="6"/>
      <c r="C41" s="6"/>
      <c r="D41" s="6"/>
      <c r="E41" s="16">
        <f t="shared" si="0"/>
        <v>0</v>
      </c>
      <c r="F41" s="6"/>
      <c r="G41" s="7"/>
    </row>
    <row r="42" spans="1:11" x14ac:dyDescent="0.25">
      <c r="A42" s="8"/>
      <c r="B42" s="8"/>
      <c r="C42" s="8"/>
      <c r="D42" s="8"/>
      <c r="E42" s="8"/>
      <c r="F42" s="8"/>
      <c r="G42" s="8"/>
    </row>
    <row r="43" spans="1:11" x14ac:dyDescent="0.25">
      <c r="A43" s="2" t="s">
        <v>62</v>
      </c>
      <c r="B43" s="10" t="s">
        <v>20</v>
      </c>
      <c r="C43" s="10" t="s">
        <v>21</v>
      </c>
      <c r="D43" s="10" t="s">
        <v>22</v>
      </c>
      <c r="E43" s="10" t="s">
        <v>23</v>
      </c>
      <c r="F43" s="10" t="s">
        <v>24</v>
      </c>
      <c r="G43" s="11" t="s">
        <v>14</v>
      </c>
      <c r="I43" t="s">
        <v>62</v>
      </c>
    </row>
    <row r="44" spans="1:11" x14ac:dyDescent="0.25">
      <c r="A44" s="3" t="s">
        <v>63</v>
      </c>
      <c r="B44" s="1"/>
      <c r="C44" s="1"/>
      <c r="D44" s="1"/>
      <c r="E44" s="13">
        <f>SUM(B44:D44)</f>
        <v>0</v>
      </c>
      <c r="F44" s="1"/>
      <c r="G44" s="4"/>
      <c r="I44" t="s">
        <v>27</v>
      </c>
      <c r="J44" t="str" cm="1">
        <f t="array" ref="J44">INDEX(A44:A47,MATCH(LARGE(B44:B47+C44:C47+D44:D47,1),B44:B47+C44:C47+D44:D47,0))</f>
        <v>Spain</v>
      </c>
    </row>
    <row r="45" spans="1:11" x14ac:dyDescent="0.25">
      <c r="A45" s="3" t="s">
        <v>64</v>
      </c>
      <c r="B45" s="1"/>
      <c r="C45" s="1"/>
      <c r="D45" s="1"/>
      <c r="E45" s="13">
        <f t="shared" si="0"/>
        <v>0</v>
      </c>
      <c r="F45" s="1"/>
      <c r="G45" s="4"/>
      <c r="I45" t="s">
        <v>11</v>
      </c>
      <c r="J45" t="str" cm="1">
        <f t="array" ref="J45">INDEX(A44:A47,MATCH(LARGE(B44:B47+C44:C47+D44:D47,2),B44:B47+C44:C47+D44:D47,0))</f>
        <v>Spain</v>
      </c>
    </row>
    <row r="46" spans="1:11" x14ac:dyDescent="0.25">
      <c r="A46" s="3" t="s">
        <v>65</v>
      </c>
      <c r="B46" s="1"/>
      <c r="C46" s="1"/>
      <c r="D46" s="1"/>
      <c r="E46" s="13">
        <f t="shared" si="0"/>
        <v>0</v>
      </c>
      <c r="F46" s="1"/>
      <c r="G46" s="4"/>
      <c r="I46" t="s">
        <v>30</v>
      </c>
      <c r="J46" t="str" cm="1">
        <f t="array" ref="J46">INDEX(A45:A48,MATCH(LARGE(B45:B48+C45:C48+D45:D48,3),B45:B48+C45:C48+D45:D48,0))</f>
        <v>Cape Verde</v>
      </c>
      <c r="K46">
        <f>LARGE(E44:E47,3)</f>
        <v>0</v>
      </c>
    </row>
    <row r="47" spans="1:11" x14ac:dyDescent="0.25">
      <c r="A47" s="5" t="s">
        <v>66</v>
      </c>
      <c r="B47" s="6"/>
      <c r="C47" s="6"/>
      <c r="D47" s="6"/>
      <c r="E47" s="16">
        <f t="shared" si="0"/>
        <v>0</v>
      </c>
      <c r="F47" s="6"/>
      <c r="G47" s="7"/>
    </row>
    <row r="48" spans="1:11" x14ac:dyDescent="0.25">
      <c r="A48" s="8"/>
      <c r="B48" s="8"/>
      <c r="C48" s="8"/>
      <c r="D48" s="8"/>
      <c r="E48" s="8"/>
      <c r="F48" s="8"/>
      <c r="G48" s="8"/>
    </row>
    <row r="49" spans="1:11" x14ac:dyDescent="0.25">
      <c r="A49" s="2" t="s">
        <v>67</v>
      </c>
      <c r="B49" s="10" t="s">
        <v>20</v>
      </c>
      <c r="C49" s="10" t="s">
        <v>21</v>
      </c>
      <c r="D49" s="10" t="s">
        <v>22</v>
      </c>
      <c r="E49" s="10" t="s">
        <v>23</v>
      </c>
      <c r="F49" s="10" t="s">
        <v>24</v>
      </c>
      <c r="G49" s="11" t="s">
        <v>14</v>
      </c>
      <c r="I49" t="s">
        <v>67</v>
      </c>
    </row>
    <row r="50" spans="1:11" x14ac:dyDescent="0.25">
      <c r="A50" s="3" t="s">
        <v>68</v>
      </c>
      <c r="B50" s="1"/>
      <c r="C50" s="1"/>
      <c r="D50" s="1"/>
      <c r="E50" s="13">
        <f>SUM(B50:D50)</f>
        <v>0</v>
      </c>
      <c r="F50" s="1"/>
      <c r="G50" s="4"/>
      <c r="I50" t="s">
        <v>27</v>
      </c>
      <c r="J50" t="str" cm="1">
        <f t="array" ref="J50">INDEX(A50:A53,MATCH(LARGE(B50:B53+C50:C53+D50:D53,1),B50:B53+C50:C53+D50:D53,0))</f>
        <v>France</v>
      </c>
    </row>
    <row r="51" spans="1:11" x14ac:dyDescent="0.25">
      <c r="A51" s="3" t="s">
        <v>69</v>
      </c>
      <c r="B51" s="1"/>
      <c r="C51" s="1"/>
      <c r="D51" s="1"/>
      <c r="E51" s="13">
        <f t="shared" si="0"/>
        <v>0</v>
      </c>
      <c r="F51" s="1"/>
      <c r="G51" s="4"/>
      <c r="I51" t="s">
        <v>11</v>
      </c>
      <c r="J51" t="str" cm="1">
        <f t="array" ref="J51">INDEX(A50:A53,MATCH(LARGE(B50:B53+C50:C53+D50:D53,2),B50:B53+C50:C53+D50:D53,0))</f>
        <v>France</v>
      </c>
    </row>
    <row r="52" spans="1:11" x14ac:dyDescent="0.25">
      <c r="A52" s="3" t="s">
        <v>70</v>
      </c>
      <c r="B52" s="1"/>
      <c r="C52" s="1"/>
      <c r="D52" s="1"/>
      <c r="E52" s="13">
        <f t="shared" si="0"/>
        <v>0</v>
      </c>
      <c r="F52" s="1"/>
      <c r="G52" s="4"/>
      <c r="I52" t="s">
        <v>30</v>
      </c>
      <c r="J52" t="str" cm="1">
        <f t="array" ref="J52">INDEX(A51:A54,MATCH(LARGE(B51:B54+C51:C54+D51:D54,3),B51:B54+C51:C54+D51:D54,0))</f>
        <v>Senegal</v>
      </c>
      <c r="K52">
        <f>LARGE(E50:E53,3)</f>
        <v>0</v>
      </c>
    </row>
    <row r="53" spans="1:11" x14ac:dyDescent="0.25">
      <c r="A53" s="5" t="s">
        <v>71</v>
      </c>
      <c r="B53" s="6"/>
      <c r="C53" s="6"/>
      <c r="D53" s="6"/>
      <c r="E53" s="16">
        <f t="shared" si="0"/>
        <v>0</v>
      </c>
      <c r="F53" s="6"/>
      <c r="G53" s="7"/>
    </row>
    <row r="54" spans="1:11" x14ac:dyDescent="0.25">
      <c r="A54" s="8"/>
      <c r="B54" s="8"/>
      <c r="C54" s="8"/>
      <c r="D54" s="8"/>
      <c r="E54" s="8"/>
      <c r="F54" s="8"/>
      <c r="G54" s="8"/>
    </row>
    <row r="55" spans="1:11" x14ac:dyDescent="0.25">
      <c r="A55" s="2" t="s">
        <v>72</v>
      </c>
      <c r="B55" s="10" t="s">
        <v>20</v>
      </c>
      <c r="C55" s="10" t="s">
        <v>21</v>
      </c>
      <c r="D55" s="10" t="s">
        <v>22</v>
      </c>
      <c r="E55" s="10" t="s">
        <v>23</v>
      </c>
      <c r="F55" s="10" t="s">
        <v>24</v>
      </c>
      <c r="G55" s="11" t="s">
        <v>14</v>
      </c>
      <c r="I55" t="s">
        <v>72</v>
      </c>
    </row>
    <row r="56" spans="1:11" x14ac:dyDescent="0.25">
      <c r="A56" s="3" t="s">
        <v>73</v>
      </c>
      <c r="B56" s="1"/>
      <c r="C56" s="1"/>
      <c r="D56" s="1"/>
      <c r="E56" s="13">
        <f>SUM(B56:D56)</f>
        <v>0</v>
      </c>
      <c r="F56" s="1"/>
      <c r="G56" s="4"/>
      <c r="I56" t="s">
        <v>27</v>
      </c>
      <c r="J56" t="str" cm="1">
        <f t="array" ref="J56">INDEX(A56:A59,MATCH(LARGE(B56:B59+C56:C59+D56:D59,1),B56:B59+C56:C59+D56:D59,0))</f>
        <v>Argentina</v>
      </c>
    </row>
    <row r="57" spans="1:11" x14ac:dyDescent="0.25">
      <c r="A57" s="3" t="s">
        <v>74</v>
      </c>
      <c r="B57" s="1"/>
      <c r="C57" s="1"/>
      <c r="D57" s="1"/>
      <c r="E57" s="13">
        <f t="shared" si="0"/>
        <v>0</v>
      </c>
      <c r="F57" s="1"/>
      <c r="G57" s="4"/>
      <c r="I57" t="s">
        <v>11</v>
      </c>
      <c r="J57" t="str" cm="1">
        <f t="array" ref="J57">INDEX(A56:A59,MATCH(LARGE(B56:B59+C56:C59+D56:D59,2),B56:B59+C56:C59+D56:D59,0))</f>
        <v>Argentina</v>
      </c>
    </row>
    <row r="58" spans="1:11" x14ac:dyDescent="0.25">
      <c r="A58" s="3" t="s">
        <v>75</v>
      </c>
      <c r="B58" s="1"/>
      <c r="C58" s="1"/>
      <c r="D58" s="1"/>
      <c r="E58" s="13">
        <f t="shared" si="0"/>
        <v>0</v>
      </c>
      <c r="F58" s="1"/>
      <c r="G58" s="4"/>
      <c r="I58" t="s">
        <v>30</v>
      </c>
      <c r="J58" t="str" cm="1">
        <f t="array" ref="J58">INDEX(A57:A60,MATCH(LARGE(B57:B60+C57:C60+D57:D60,3),B57:B60+C57:C60+D57:D60,0))</f>
        <v>Algeria</v>
      </c>
      <c r="K58">
        <f>LARGE(E56:E59,3)</f>
        <v>0</v>
      </c>
    </row>
    <row r="59" spans="1:11" x14ac:dyDescent="0.25">
      <c r="A59" s="5" t="s">
        <v>76</v>
      </c>
      <c r="B59" s="6"/>
      <c r="C59" s="6"/>
      <c r="D59" s="6"/>
      <c r="E59" s="16">
        <f t="shared" si="0"/>
        <v>0</v>
      </c>
      <c r="F59" s="6"/>
      <c r="G59" s="7"/>
    </row>
    <row r="60" spans="1:11" x14ac:dyDescent="0.25">
      <c r="A60" s="8"/>
      <c r="B60" s="8"/>
      <c r="C60" s="8"/>
      <c r="D60" s="8"/>
      <c r="E60" s="8"/>
      <c r="F60" s="8"/>
      <c r="G60" s="8"/>
    </row>
    <row r="61" spans="1:11" x14ac:dyDescent="0.25">
      <c r="A61" s="2" t="s">
        <v>77</v>
      </c>
      <c r="B61" s="10" t="s">
        <v>20</v>
      </c>
      <c r="C61" s="10" t="s">
        <v>21</v>
      </c>
      <c r="D61" s="10" t="s">
        <v>22</v>
      </c>
      <c r="E61" s="10" t="s">
        <v>23</v>
      </c>
      <c r="F61" s="10" t="s">
        <v>24</v>
      </c>
      <c r="G61" s="11" t="s">
        <v>14</v>
      </c>
      <c r="I61" t="s">
        <v>77</v>
      </c>
    </row>
    <row r="62" spans="1:11" x14ac:dyDescent="0.25">
      <c r="A62" s="3" t="s">
        <v>78</v>
      </c>
      <c r="B62" s="1"/>
      <c r="C62" s="1"/>
      <c r="D62" s="1"/>
      <c r="E62" s="13">
        <f>SUM(B62:D62)</f>
        <v>0</v>
      </c>
      <c r="F62" s="1"/>
      <c r="G62" s="4"/>
      <c r="I62" t="s">
        <v>27</v>
      </c>
      <c r="J62" t="str" cm="1">
        <f t="array" ref="J62">INDEX(A62:A65,MATCH(LARGE(B62:B65+C62:C65+D62:D65,1),B62:B65+C62:C65+D62:D65,0))</f>
        <v>Portugal</v>
      </c>
    </row>
    <row r="63" spans="1:11" x14ac:dyDescent="0.25">
      <c r="A63" s="3" t="s">
        <v>79</v>
      </c>
      <c r="B63" s="1"/>
      <c r="C63" s="1"/>
      <c r="D63" s="1"/>
      <c r="E63" s="13">
        <f t="shared" si="0"/>
        <v>0</v>
      </c>
      <c r="F63" s="1"/>
      <c r="G63" s="4"/>
      <c r="I63" t="s">
        <v>11</v>
      </c>
      <c r="J63" t="str" cm="1">
        <f t="array" ref="J63">INDEX(A62:A65,MATCH(LARGE(B62:B65+C62:C65+D62:D65,2),B62:B65+C62:C65+D62:D65,0))</f>
        <v>Portugal</v>
      </c>
    </row>
    <row r="64" spans="1:11" x14ac:dyDescent="0.25">
      <c r="A64" s="3" t="s">
        <v>80</v>
      </c>
      <c r="B64" s="1"/>
      <c r="C64" s="1"/>
      <c r="D64" s="1"/>
      <c r="E64" s="13">
        <f t="shared" si="0"/>
        <v>0</v>
      </c>
      <c r="F64" s="1"/>
      <c r="G64" s="4"/>
      <c r="I64" t="s">
        <v>30</v>
      </c>
      <c r="J64" t="str" cm="1">
        <f t="array" ref="J64">INDEX(A63:A66,MATCH(LARGE(B63:B66+C63:C66+D63:D66,3),B63:B66+C63:C66+D63:D66,0))</f>
        <v>Congo DR</v>
      </c>
      <c r="K64">
        <f>LARGE(E62:E65,3)</f>
        <v>0</v>
      </c>
    </row>
    <row r="65" spans="1:11" x14ac:dyDescent="0.25">
      <c r="A65" s="5" t="s">
        <v>81</v>
      </c>
      <c r="B65" s="6"/>
      <c r="C65" s="6"/>
      <c r="D65" s="6"/>
      <c r="E65" s="16">
        <f t="shared" si="0"/>
        <v>0</v>
      </c>
      <c r="F65" s="6"/>
      <c r="G65" s="7"/>
    </row>
    <row r="66" spans="1:11" x14ac:dyDescent="0.25">
      <c r="A66" s="8"/>
      <c r="B66" s="8"/>
      <c r="C66" s="8"/>
      <c r="D66" s="8"/>
      <c r="E66" s="8"/>
      <c r="F66" s="8"/>
      <c r="G66" s="8"/>
    </row>
    <row r="67" spans="1:11" x14ac:dyDescent="0.25">
      <c r="A67" s="2" t="s">
        <v>82</v>
      </c>
      <c r="B67" s="10" t="s">
        <v>20</v>
      </c>
      <c r="C67" s="10" t="s">
        <v>21</v>
      </c>
      <c r="D67" s="10" t="s">
        <v>22</v>
      </c>
      <c r="E67" s="10" t="s">
        <v>23</v>
      </c>
      <c r="F67" s="10" t="s">
        <v>24</v>
      </c>
      <c r="G67" s="11" t="s">
        <v>14</v>
      </c>
      <c r="I67" t="s">
        <v>82</v>
      </c>
    </row>
    <row r="68" spans="1:11" x14ac:dyDescent="0.25">
      <c r="A68" s="3" t="s">
        <v>83</v>
      </c>
      <c r="B68" s="1"/>
      <c r="C68" s="1"/>
      <c r="D68" s="1"/>
      <c r="E68" s="13">
        <f>SUM(B68:D68)</f>
        <v>0</v>
      </c>
      <c r="F68" s="1"/>
      <c r="G68" s="4"/>
      <c r="I68" t="s">
        <v>27</v>
      </c>
      <c r="J68" t="str" cm="1">
        <f t="array" ref="J68">INDEX(A68:A71,MATCH(LARGE(B68:B71+C68:C71+D68:D71,1),B68:B71+C68:C71+D68:D71,0))</f>
        <v>England</v>
      </c>
    </row>
    <row r="69" spans="1:11" x14ac:dyDescent="0.25">
      <c r="A69" s="3" t="s">
        <v>84</v>
      </c>
      <c r="B69" s="1"/>
      <c r="C69" s="1"/>
      <c r="D69" s="1"/>
      <c r="E69" s="13">
        <f t="shared" ref="E69:E71" si="1">SUM(B69:D69)</f>
        <v>0</v>
      </c>
      <c r="F69" s="1"/>
      <c r="G69" s="4"/>
      <c r="I69" t="s">
        <v>11</v>
      </c>
      <c r="J69" t="str" cm="1">
        <f t="array" ref="J69">INDEX(A68:A71,MATCH(LARGE(B68:B71+C68:C71+D68:D71,2),B68:B71+C68:C71+D68:D71,0))</f>
        <v>England</v>
      </c>
    </row>
    <row r="70" spans="1:11" x14ac:dyDescent="0.25">
      <c r="A70" s="3" t="s">
        <v>85</v>
      </c>
      <c r="B70" s="1"/>
      <c r="C70" s="1"/>
      <c r="D70" s="1"/>
      <c r="E70" s="13">
        <f t="shared" si="1"/>
        <v>0</v>
      </c>
      <c r="F70" s="1"/>
      <c r="G70" s="4"/>
      <c r="I70" t="s">
        <v>30</v>
      </c>
      <c r="J70" t="str" cm="1">
        <f t="array" ref="J70">INDEX(A69:A72,MATCH(LARGE(B69:B72+C69:C72+D69:D72,3),B69:B72+C69:C72+D69:D72,0))</f>
        <v>Croatia</v>
      </c>
      <c r="K70">
        <f>LARGE(E68:E71,3)</f>
        <v>0</v>
      </c>
    </row>
    <row r="71" spans="1:11" x14ac:dyDescent="0.25">
      <c r="A71" s="5" t="s">
        <v>86</v>
      </c>
      <c r="B71" s="6"/>
      <c r="C71" s="6"/>
      <c r="D71" s="6"/>
      <c r="E71" s="16">
        <f t="shared" si="1"/>
        <v>0</v>
      </c>
      <c r="F71" s="6"/>
      <c r="G71" s="7"/>
    </row>
  </sheetData>
  <sheetProtection sheet="1" objects="1" scenarios="1"/>
  <protectedRanges>
    <protectedRange sqref="B2:D5 F2:G5 B8:D11 F8:G11 B14:D17 F14:G17 B20:D23 F20:G23 B26:D29 F26:G29 B32:D35 F32:G35 B38:D41 F38:G41 B44:D47 F44:G47 B50:D53 F50:G53 B56:D59 F56:G59 B62:D65" name="Group Stage Results"/>
  </protectedRanges>
  <mergeCells count="2">
    <mergeCell ref="N1:Y1"/>
    <mergeCell ref="N2:Y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AC182-92FC-4123-8680-0C1E09156C58}">
  <dimension ref="A2:W31"/>
  <sheetViews>
    <sheetView workbookViewId="0">
      <selection activeCell="Q29" sqref="Q29"/>
    </sheetView>
  </sheetViews>
  <sheetFormatPr defaultRowHeight="15" x14ac:dyDescent="0.25"/>
  <cols>
    <col min="10" max="10" width="9.85546875" customWidth="1"/>
    <col min="13" max="13" width="9.42578125" customWidth="1"/>
  </cols>
  <sheetData>
    <row r="2" spans="1:23" x14ac:dyDescent="0.25">
      <c r="A2" s="1" t="s">
        <v>87</v>
      </c>
      <c r="W2" s="1" t="s">
        <v>88</v>
      </c>
    </row>
    <row r="3" spans="1:23" x14ac:dyDescent="0.25">
      <c r="A3" s="1" t="s">
        <v>89</v>
      </c>
      <c r="W3" s="1" t="s">
        <v>90</v>
      </c>
    </row>
    <row r="4" spans="1:23" x14ac:dyDescent="0.25">
      <c r="C4" s="1"/>
      <c r="U4" s="1"/>
    </row>
    <row r="5" spans="1:23" x14ac:dyDescent="0.25">
      <c r="C5" s="1"/>
      <c r="U5" s="1"/>
    </row>
    <row r="6" spans="1:23" x14ac:dyDescent="0.25">
      <c r="A6" s="1" t="s">
        <v>91</v>
      </c>
      <c r="W6" s="1" t="s">
        <v>92</v>
      </c>
    </row>
    <row r="7" spans="1:23" x14ac:dyDescent="0.25">
      <c r="A7" s="1" t="s">
        <v>93</v>
      </c>
      <c r="W7" s="1" t="s">
        <v>94</v>
      </c>
    </row>
    <row r="8" spans="1:23" x14ac:dyDescent="0.25">
      <c r="E8" s="1"/>
      <c r="S8" s="1"/>
    </row>
    <row r="9" spans="1:23" x14ac:dyDescent="0.25">
      <c r="E9" s="1"/>
      <c r="S9" s="1"/>
    </row>
    <row r="10" spans="1:23" x14ac:dyDescent="0.25">
      <c r="A10" s="1" t="s">
        <v>95</v>
      </c>
      <c r="W10" s="1" t="s">
        <v>96</v>
      </c>
    </row>
    <row r="11" spans="1:23" x14ac:dyDescent="0.25">
      <c r="A11" s="1" t="s">
        <v>97</v>
      </c>
      <c r="W11" s="1" t="s">
        <v>98</v>
      </c>
    </row>
    <row r="12" spans="1:23" x14ac:dyDescent="0.25">
      <c r="C12" s="1"/>
      <c r="U12" s="1"/>
    </row>
    <row r="13" spans="1:23" x14ac:dyDescent="0.25">
      <c r="C13" s="1"/>
      <c r="J13" s="59"/>
      <c r="K13" s="74" t="s">
        <v>179</v>
      </c>
      <c r="L13" s="75"/>
      <c r="M13" s="76"/>
      <c r="N13" s="60"/>
      <c r="U13" s="1"/>
    </row>
    <row r="14" spans="1:23" x14ac:dyDescent="0.25">
      <c r="A14" s="1" t="s">
        <v>99</v>
      </c>
      <c r="J14" s="61"/>
      <c r="K14" s="77"/>
      <c r="L14" s="72"/>
      <c r="M14" s="78"/>
      <c r="N14" s="62"/>
      <c r="W14" s="1" t="s">
        <v>100</v>
      </c>
    </row>
    <row r="15" spans="1:23" x14ac:dyDescent="0.25">
      <c r="A15" s="1" t="s">
        <v>101</v>
      </c>
      <c r="G15" s="49"/>
      <c r="H15" s="50"/>
      <c r="I15" s="15"/>
      <c r="J15" s="63"/>
      <c r="K15" s="64"/>
      <c r="L15" s="64"/>
      <c r="M15" s="64"/>
      <c r="N15" s="62"/>
      <c r="P15" s="49"/>
      <c r="Q15" s="50"/>
      <c r="W15" s="1" t="s">
        <v>102</v>
      </c>
    </row>
    <row r="16" spans="1:23" x14ac:dyDescent="0.25">
      <c r="G16" s="51"/>
      <c r="H16" s="52"/>
      <c r="I16" s="15"/>
      <c r="J16" s="65"/>
      <c r="K16" s="50"/>
      <c r="L16" s="64"/>
      <c r="M16" s="49"/>
      <c r="N16" s="66"/>
      <c r="P16" s="51"/>
      <c r="Q16" s="52"/>
    </row>
    <row r="17" spans="1:23" x14ac:dyDescent="0.25">
      <c r="J17" s="67"/>
      <c r="K17" s="54"/>
      <c r="L17" s="64" t="s">
        <v>103</v>
      </c>
      <c r="M17" s="53"/>
      <c r="N17" s="68"/>
    </row>
    <row r="18" spans="1:23" x14ac:dyDescent="0.25">
      <c r="A18" s="1" t="s">
        <v>104</v>
      </c>
      <c r="G18" s="49"/>
      <c r="H18" s="50"/>
      <c r="I18" s="15"/>
      <c r="J18" s="69"/>
      <c r="K18" s="52"/>
      <c r="L18" s="64"/>
      <c r="M18" s="51"/>
      <c r="N18" s="70"/>
      <c r="P18" s="49"/>
      <c r="Q18" s="50"/>
      <c r="W18" s="1" t="s">
        <v>105</v>
      </c>
    </row>
    <row r="19" spans="1:23" x14ac:dyDescent="0.25">
      <c r="A19" s="1" t="s">
        <v>106</v>
      </c>
      <c r="G19" s="51"/>
      <c r="H19" s="52"/>
      <c r="I19" s="15"/>
      <c r="J19" s="63"/>
      <c r="K19" s="64"/>
      <c r="L19" s="64"/>
      <c r="M19" s="64"/>
      <c r="N19" s="62"/>
      <c r="P19" s="51"/>
      <c r="Q19" s="52"/>
      <c r="W19" s="1" t="s">
        <v>107</v>
      </c>
    </row>
    <row r="20" spans="1:23" x14ac:dyDescent="0.25">
      <c r="C20" s="1"/>
      <c r="J20" s="61"/>
      <c r="K20" s="74" t="s">
        <v>179</v>
      </c>
      <c r="L20" s="75"/>
      <c r="M20" s="76"/>
      <c r="N20" s="62"/>
      <c r="U20" s="1"/>
    </row>
    <row r="21" spans="1:23" x14ac:dyDescent="0.25">
      <c r="C21" s="1"/>
      <c r="J21" s="71"/>
      <c r="K21" s="77"/>
      <c r="L21" s="72"/>
      <c r="M21" s="78"/>
      <c r="N21" s="73"/>
      <c r="U21" s="1"/>
    </row>
    <row r="22" spans="1:23" x14ac:dyDescent="0.25">
      <c r="A22" s="1" t="s">
        <v>108</v>
      </c>
      <c r="W22" s="1" t="s">
        <v>109</v>
      </c>
    </row>
    <row r="23" spans="1:23" x14ac:dyDescent="0.25">
      <c r="A23" s="1" t="s">
        <v>110</v>
      </c>
      <c r="W23" s="1" t="s">
        <v>111</v>
      </c>
    </row>
    <row r="24" spans="1:23" x14ac:dyDescent="0.25">
      <c r="E24" s="1"/>
      <c r="S24" s="1"/>
    </row>
    <row r="25" spans="1:23" x14ac:dyDescent="0.25">
      <c r="E25" s="1"/>
      <c r="S25" s="1"/>
    </row>
    <row r="26" spans="1:23" x14ac:dyDescent="0.25">
      <c r="A26" s="1" t="s">
        <v>112</v>
      </c>
      <c r="W26" s="1" t="s">
        <v>113</v>
      </c>
    </row>
    <row r="27" spans="1:23" x14ac:dyDescent="0.25">
      <c r="A27" s="1" t="s">
        <v>114</v>
      </c>
      <c r="W27" s="1" t="s">
        <v>115</v>
      </c>
    </row>
    <row r="28" spans="1:23" x14ac:dyDescent="0.25">
      <c r="C28" s="1"/>
      <c r="U28" s="1"/>
    </row>
    <row r="29" spans="1:23" x14ac:dyDescent="0.25">
      <c r="C29" s="1"/>
      <c r="U29" s="1"/>
    </row>
    <row r="30" spans="1:23" x14ac:dyDescent="0.25">
      <c r="A30" s="1" t="s">
        <v>116</v>
      </c>
      <c r="W30" s="1" t="s">
        <v>117</v>
      </c>
    </row>
    <row r="31" spans="1:23" x14ac:dyDescent="0.25">
      <c r="A31" s="1" t="s">
        <v>118</v>
      </c>
      <c r="W31" s="1" t="s">
        <v>119</v>
      </c>
    </row>
  </sheetData>
  <mergeCells count="8">
    <mergeCell ref="K20:M21"/>
    <mergeCell ref="K13:M14"/>
    <mergeCell ref="G15:H16"/>
    <mergeCell ref="G18:H19"/>
    <mergeCell ref="P15:Q16"/>
    <mergeCell ref="P18:Q19"/>
    <mergeCell ref="J16:K18"/>
    <mergeCell ref="M16:N1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38B63-5582-481E-96B3-91386DC133F4}">
  <dimension ref="A1:D49"/>
  <sheetViews>
    <sheetView workbookViewId="0">
      <selection activeCell="J11" sqref="J11"/>
    </sheetView>
  </sheetViews>
  <sheetFormatPr defaultRowHeight="15" x14ac:dyDescent="0.25"/>
  <cols>
    <col min="1" max="1" width="9.7109375" customWidth="1"/>
    <col min="2" max="2" width="12.85546875" bestFit="1" customWidth="1"/>
    <col min="3" max="3" width="9.7109375" customWidth="1"/>
    <col min="4" max="4" width="7.85546875" style="58" customWidth="1"/>
  </cols>
  <sheetData>
    <row r="1" spans="1:4" x14ac:dyDescent="0.25">
      <c r="A1" s="19" t="s">
        <v>120</v>
      </c>
      <c r="B1" s="20" t="s">
        <v>121</v>
      </c>
      <c r="C1" s="20" t="s">
        <v>122</v>
      </c>
      <c r="D1" s="55" t="s">
        <v>123</v>
      </c>
    </row>
    <row r="2" spans="1:4" x14ac:dyDescent="0.25">
      <c r="A2" s="21" t="s">
        <v>63</v>
      </c>
      <c r="B2" s="21" t="s">
        <v>124</v>
      </c>
      <c r="C2" s="21" t="e" vm="1">
        <f>_xlfn.IMAGE("https://flagcdn.com/w40/" &amp; LOWER(B2)&amp; ".png")</f>
        <v>#VALUE!</v>
      </c>
      <c r="D2" s="56">
        <v>5</v>
      </c>
    </row>
    <row r="3" spans="1:4" x14ac:dyDescent="0.25">
      <c r="A3" s="18" t="s">
        <v>68</v>
      </c>
      <c r="B3" s="18" t="s">
        <v>125</v>
      </c>
      <c r="C3" s="18" t="e" vm="2">
        <f t="shared" ref="C3:C49" si="0">_xlfn.IMAGE("https://flagcdn.com/w40/" &amp; LOWER(B3)&amp; ".png")</f>
        <v>#VALUE!</v>
      </c>
      <c r="D3" s="57">
        <v>6</v>
      </c>
    </row>
    <row r="4" spans="1:4" x14ac:dyDescent="0.25">
      <c r="A4" s="18" t="s">
        <v>83</v>
      </c>
      <c r="B4" s="18" t="s">
        <v>126</v>
      </c>
      <c r="C4" s="18" t="e" vm="3">
        <f t="shared" si="0"/>
        <v>#VALUE!</v>
      </c>
      <c r="D4" s="57">
        <v>7</v>
      </c>
    </row>
    <row r="5" spans="1:4" x14ac:dyDescent="0.25">
      <c r="A5" s="18" t="s">
        <v>73</v>
      </c>
      <c r="B5" s="18" t="s">
        <v>127</v>
      </c>
      <c r="C5" s="18" t="e" vm="4">
        <f t="shared" si="0"/>
        <v>#VALUE!</v>
      </c>
      <c r="D5" s="57">
        <v>8</v>
      </c>
    </row>
    <row r="6" spans="1:4" x14ac:dyDescent="0.25">
      <c r="A6" s="18" t="s">
        <v>128</v>
      </c>
      <c r="B6" s="18" t="s">
        <v>129</v>
      </c>
      <c r="C6" s="18" t="e" vm="5">
        <f t="shared" si="0"/>
        <v>#VALUE!</v>
      </c>
      <c r="D6" s="57">
        <v>9</v>
      </c>
    </row>
    <row r="7" spans="1:4" x14ac:dyDescent="0.25">
      <c r="A7" s="18" t="s">
        <v>48</v>
      </c>
      <c r="B7" s="18" t="s">
        <v>130</v>
      </c>
      <c r="C7" s="18" t="e" vm="6">
        <f t="shared" si="0"/>
        <v>#VALUE!</v>
      </c>
      <c r="D7" s="57">
        <v>12</v>
      </c>
    </row>
    <row r="8" spans="1:4" x14ac:dyDescent="0.25">
      <c r="A8" s="18" t="s">
        <v>78</v>
      </c>
      <c r="B8" s="18" t="s">
        <v>131</v>
      </c>
      <c r="C8" s="18" t="e" vm="7">
        <f t="shared" si="0"/>
        <v>#VALUE!</v>
      </c>
      <c r="D8" s="57">
        <v>12</v>
      </c>
    </row>
    <row r="9" spans="1:4" x14ac:dyDescent="0.25">
      <c r="A9" s="18" t="s">
        <v>53</v>
      </c>
      <c r="B9" s="18" t="s">
        <v>132</v>
      </c>
      <c r="C9" s="18" t="e" vm="8">
        <f t="shared" si="0"/>
        <v>#VALUE!</v>
      </c>
      <c r="D9" s="57">
        <v>20</v>
      </c>
    </row>
    <row r="10" spans="1:4" x14ac:dyDescent="0.25">
      <c r="A10" s="18" t="s">
        <v>71</v>
      </c>
      <c r="B10" s="18" t="s">
        <v>133</v>
      </c>
      <c r="C10" s="18" t="e" vm="9">
        <f t="shared" si="0"/>
        <v>#VALUE!</v>
      </c>
      <c r="D10" s="57">
        <v>25</v>
      </c>
    </row>
    <row r="11" spans="1:4" x14ac:dyDescent="0.25">
      <c r="A11" s="18" t="s">
        <v>58</v>
      </c>
      <c r="B11" s="18" t="s">
        <v>134</v>
      </c>
      <c r="C11" s="18" t="e" vm="10">
        <f t="shared" si="0"/>
        <v>#VALUE!</v>
      </c>
      <c r="D11" s="57">
        <v>33</v>
      </c>
    </row>
    <row r="12" spans="1:4" x14ac:dyDescent="0.25">
      <c r="A12" s="18" t="s">
        <v>81</v>
      </c>
      <c r="B12" s="18" t="s">
        <v>135</v>
      </c>
      <c r="C12" s="18" t="e" vm="11">
        <f t="shared" si="0"/>
        <v>#VALUE!</v>
      </c>
      <c r="D12" s="57">
        <v>33</v>
      </c>
    </row>
    <row r="13" spans="1:4" x14ac:dyDescent="0.25">
      <c r="A13" s="18" t="s">
        <v>54</v>
      </c>
      <c r="B13" s="18" t="s">
        <v>136</v>
      </c>
      <c r="C13" s="18" t="e" vm="12">
        <f t="shared" si="0"/>
        <v>#VALUE!</v>
      </c>
      <c r="D13" s="57">
        <v>50</v>
      </c>
    </row>
    <row r="14" spans="1:4" x14ac:dyDescent="0.25">
      <c r="A14" s="18" t="s">
        <v>39</v>
      </c>
      <c r="B14" s="18" t="s">
        <v>137</v>
      </c>
      <c r="C14" s="18" t="e" vm="13">
        <f t="shared" si="0"/>
        <v>#VALUE!</v>
      </c>
      <c r="D14" s="57">
        <v>66</v>
      </c>
    </row>
    <row r="15" spans="1:4" x14ac:dyDescent="0.25">
      <c r="A15" s="18" t="s">
        <v>66</v>
      </c>
      <c r="B15" s="18" t="s">
        <v>138</v>
      </c>
      <c r="C15" s="18" t="e" vm="14">
        <f t="shared" si="0"/>
        <v>#VALUE!</v>
      </c>
      <c r="D15" s="57">
        <v>66</v>
      </c>
    </row>
    <row r="16" spans="1:4" x14ac:dyDescent="0.25">
      <c r="A16" s="18" t="s">
        <v>43</v>
      </c>
      <c r="B16" s="18" t="s">
        <v>139</v>
      </c>
      <c r="C16" s="18" t="e" vm="15">
        <f t="shared" si="0"/>
        <v>#VALUE!</v>
      </c>
      <c r="D16" s="57">
        <v>66</v>
      </c>
    </row>
    <row r="17" spans="1:4" x14ac:dyDescent="0.25">
      <c r="A17" s="18" t="s">
        <v>75</v>
      </c>
      <c r="B17" s="18" t="s">
        <v>140</v>
      </c>
      <c r="C17" s="18" t="e" vm="16">
        <f t="shared" si="0"/>
        <v>#VALUE!</v>
      </c>
      <c r="D17" s="57">
        <v>80</v>
      </c>
    </row>
    <row r="18" spans="1:4" x14ac:dyDescent="0.25">
      <c r="A18" s="18" t="s">
        <v>33</v>
      </c>
      <c r="B18" s="18" t="s">
        <v>141</v>
      </c>
      <c r="C18" s="18" t="e" vm="17">
        <f t="shared" si="0"/>
        <v>#VALUE!</v>
      </c>
      <c r="D18" s="57">
        <v>80</v>
      </c>
    </row>
    <row r="19" spans="1:4" x14ac:dyDescent="0.25">
      <c r="A19" s="18" t="s">
        <v>84</v>
      </c>
      <c r="B19" s="18" t="s">
        <v>142</v>
      </c>
      <c r="C19" s="18" t="e" vm="18">
        <f t="shared" si="0"/>
        <v>#VALUE!</v>
      </c>
      <c r="D19" s="57">
        <v>80</v>
      </c>
    </row>
    <row r="20" spans="1:4" x14ac:dyDescent="0.25">
      <c r="A20" s="18" t="s">
        <v>26</v>
      </c>
      <c r="B20" s="18" t="s">
        <v>143</v>
      </c>
      <c r="C20" s="18" t="e" vm="19">
        <f t="shared" si="0"/>
        <v>#VALUE!</v>
      </c>
      <c r="D20" s="57">
        <v>80</v>
      </c>
    </row>
    <row r="21" spans="1:4" x14ac:dyDescent="0.25">
      <c r="A21" s="18" t="s">
        <v>36</v>
      </c>
      <c r="B21" s="18" t="s">
        <v>144</v>
      </c>
      <c r="C21" s="18" t="e" vm="20">
        <f t="shared" si="0"/>
        <v>#VALUE!</v>
      </c>
      <c r="D21" s="57">
        <v>80</v>
      </c>
    </row>
    <row r="22" spans="1:4" x14ac:dyDescent="0.25">
      <c r="A22" s="18" t="s">
        <v>46</v>
      </c>
      <c r="B22" s="18" t="s">
        <v>145</v>
      </c>
      <c r="C22" s="18" t="e" vm="21">
        <f t="shared" si="0"/>
        <v>#VALUE!</v>
      </c>
      <c r="D22" s="57">
        <v>80</v>
      </c>
    </row>
    <row r="23" spans="1:4" x14ac:dyDescent="0.25">
      <c r="A23" s="18" t="s">
        <v>51</v>
      </c>
      <c r="B23" s="18" t="s">
        <v>146</v>
      </c>
      <c r="C23" s="18" t="e" vm="22">
        <f t="shared" si="0"/>
        <v>#VALUE!</v>
      </c>
      <c r="D23" s="57">
        <v>100</v>
      </c>
    </row>
    <row r="24" spans="1:4" x14ac:dyDescent="0.25">
      <c r="A24" s="18" t="s">
        <v>69</v>
      </c>
      <c r="B24" s="18" t="s">
        <v>147</v>
      </c>
      <c r="C24" s="18" t="e" vm="23">
        <f t="shared" si="0"/>
        <v>#VALUE!</v>
      </c>
      <c r="D24" s="57">
        <v>100</v>
      </c>
    </row>
    <row r="25" spans="1:4" x14ac:dyDescent="0.25">
      <c r="A25" s="18" t="s">
        <v>45</v>
      </c>
      <c r="B25" s="18" t="s">
        <v>148</v>
      </c>
      <c r="C25" s="18" t="e" vm="24">
        <f t="shared" si="0"/>
        <v>#VALUE!</v>
      </c>
      <c r="D25" s="57">
        <v>150</v>
      </c>
    </row>
    <row r="26" spans="1:4" x14ac:dyDescent="0.25">
      <c r="A26" s="18" t="s">
        <v>59</v>
      </c>
      <c r="B26" s="18" t="s">
        <v>149</v>
      </c>
      <c r="C26" s="18" t="e" vm="25">
        <f t="shared" si="0"/>
        <v>#VALUE!</v>
      </c>
      <c r="D26" s="57">
        <v>150</v>
      </c>
    </row>
    <row r="27" spans="1:4" x14ac:dyDescent="0.25">
      <c r="A27" s="18" t="s">
        <v>50</v>
      </c>
      <c r="B27" s="18" t="s">
        <v>150</v>
      </c>
      <c r="C27" s="18" t="e" vm="26">
        <f t="shared" si="0"/>
        <v>#VALUE!</v>
      </c>
      <c r="D27" s="57">
        <v>150</v>
      </c>
    </row>
    <row r="28" spans="1:4" x14ac:dyDescent="0.25">
      <c r="A28" s="18" t="s">
        <v>44</v>
      </c>
      <c r="B28" s="18" t="s">
        <v>151</v>
      </c>
      <c r="C28" s="18" t="e" vm="27">
        <f t="shared" si="0"/>
        <v>#VALUE!</v>
      </c>
      <c r="D28" s="57">
        <v>150</v>
      </c>
    </row>
    <row r="29" spans="1:4" x14ac:dyDescent="0.25">
      <c r="A29" s="18" t="s">
        <v>41</v>
      </c>
      <c r="B29" s="18" t="s">
        <v>152</v>
      </c>
      <c r="C29" s="18" t="e" vm="28">
        <f t="shared" si="0"/>
        <v>#VALUE!</v>
      </c>
      <c r="D29" s="57">
        <v>150</v>
      </c>
    </row>
    <row r="30" spans="1:4" x14ac:dyDescent="0.25">
      <c r="A30" s="18" t="s">
        <v>153</v>
      </c>
      <c r="B30" s="18" t="s">
        <v>154</v>
      </c>
      <c r="C30" s="18" t="e" vm="29">
        <f t="shared" si="0"/>
        <v>#VALUE!</v>
      </c>
      <c r="D30" s="57">
        <v>150</v>
      </c>
    </row>
    <row r="31" spans="1:4" x14ac:dyDescent="0.25">
      <c r="A31" s="18" t="s">
        <v>55</v>
      </c>
      <c r="B31" s="18" t="s">
        <v>155</v>
      </c>
      <c r="C31" s="18" t="e" vm="30">
        <f t="shared" si="0"/>
        <v>#VALUE!</v>
      </c>
      <c r="D31" s="57">
        <v>150</v>
      </c>
    </row>
    <row r="32" spans="1:4" x14ac:dyDescent="0.25">
      <c r="A32" s="18" t="s">
        <v>31</v>
      </c>
      <c r="B32" s="18" t="s">
        <v>156</v>
      </c>
      <c r="C32" s="18" t="e" vm="31">
        <f t="shared" si="0"/>
        <v>#VALUE!</v>
      </c>
      <c r="D32" s="57">
        <v>200</v>
      </c>
    </row>
    <row r="33" spans="1:4" x14ac:dyDescent="0.25">
      <c r="A33" s="18" t="s">
        <v>85</v>
      </c>
      <c r="B33" s="18" t="s">
        <v>157</v>
      </c>
      <c r="C33" s="18" t="e" vm="32">
        <f t="shared" si="0"/>
        <v>#VALUE!</v>
      </c>
      <c r="D33" s="57">
        <v>200</v>
      </c>
    </row>
    <row r="34" spans="1:4" x14ac:dyDescent="0.25">
      <c r="A34" s="18" t="s">
        <v>74</v>
      </c>
      <c r="B34" s="18" t="s">
        <v>158</v>
      </c>
      <c r="C34" s="18" t="e" vm="33">
        <f t="shared" si="0"/>
        <v>#VALUE!</v>
      </c>
      <c r="D34" s="57">
        <v>250</v>
      </c>
    </row>
    <row r="35" spans="1:4" x14ac:dyDescent="0.25">
      <c r="A35" s="18" t="s">
        <v>159</v>
      </c>
      <c r="B35" s="18" t="s">
        <v>160</v>
      </c>
      <c r="C35" s="18" t="e" vm="34">
        <f t="shared" si="0"/>
        <v>#VALUE!</v>
      </c>
      <c r="D35" s="57">
        <v>250</v>
      </c>
    </row>
    <row r="36" spans="1:4" x14ac:dyDescent="0.25">
      <c r="A36" s="18" t="s">
        <v>60</v>
      </c>
      <c r="B36" s="18" t="s">
        <v>161</v>
      </c>
      <c r="C36" s="18" t="e" vm="35">
        <f t="shared" si="0"/>
        <v>#VALUE!</v>
      </c>
      <c r="D36" s="57">
        <v>250</v>
      </c>
    </row>
    <row r="37" spans="1:4" x14ac:dyDescent="0.25">
      <c r="A37" s="18" t="s">
        <v>35</v>
      </c>
      <c r="B37" s="18" t="s">
        <v>162</v>
      </c>
      <c r="C37" s="18" t="e" vm="36">
        <f t="shared" si="0"/>
        <v>#VALUE!</v>
      </c>
      <c r="D37" s="57">
        <v>250</v>
      </c>
    </row>
    <row r="38" spans="1:4" x14ac:dyDescent="0.25">
      <c r="A38" s="18" t="s">
        <v>56</v>
      </c>
      <c r="B38" s="18" t="s">
        <v>163</v>
      </c>
      <c r="C38" s="18" t="e" vm="37">
        <f t="shared" si="0"/>
        <v>#VALUE!</v>
      </c>
      <c r="D38" s="57">
        <v>250</v>
      </c>
    </row>
    <row r="39" spans="1:4" x14ac:dyDescent="0.25">
      <c r="A39" s="18" t="s">
        <v>64</v>
      </c>
      <c r="B39" s="18" t="s">
        <v>164</v>
      </c>
      <c r="C39" s="18" t="e" vm="38">
        <f t="shared" si="0"/>
        <v>#VALUE!</v>
      </c>
      <c r="D39" s="57">
        <v>500</v>
      </c>
    </row>
    <row r="40" spans="1:4" x14ac:dyDescent="0.25">
      <c r="A40" s="18" t="s">
        <v>165</v>
      </c>
      <c r="B40" s="18" t="s">
        <v>166</v>
      </c>
      <c r="C40" s="18" t="e" vm="39">
        <f t="shared" si="0"/>
        <v>#VALUE!</v>
      </c>
      <c r="D40" s="57">
        <v>500</v>
      </c>
    </row>
    <row r="41" spans="1:4" x14ac:dyDescent="0.25">
      <c r="A41" s="18" t="s">
        <v>70</v>
      </c>
      <c r="B41" s="18" t="s">
        <v>167</v>
      </c>
      <c r="C41" s="18" t="e" vm="40">
        <f t="shared" si="0"/>
        <v>#VALUE!</v>
      </c>
      <c r="D41" s="57">
        <v>500</v>
      </c>
    </row>
    <row r="42" spans="1:4" x14ac:dyDescent="0.25">
      <c r="A42" s="18" t="s">
        <v>76</v>
      </c>
      <c r="B42" s="18" t="s">
        <v>168</v>
      </c>
      <c r="C42" s="18" t="e" vm="41">
        <f t="shared" si="0"/>
        <v>#VALUE!</v>
      </c>
      <c r="D42" s="57">
        <v>500</v>
      </c>
    </row>
    <row r="43" spans="1:4" x14ac:dyDescent="0.25">
      <c r="A43" s="18" t="s">
        <v>61</v>
      </c>
      <c r="B43" s="18" t="s">
        <v>169</v>
      </c>
      <c r="C43" s="18" t="e" vm="42">
        <f t="shared" si="0"/>
        <v>#VALUE!</v>
      </c>
      <c r="D43" s="57">
        <v>500</v>
      </c>
    </row>
    <row r="44" spans="1:4" x14ac:dyDescent="0.25">
      <c r="A44" s="18" t="s">
        <v>86</v>
      </c>
      <c r="B44" s="18" t="s">
        <v>170</v>
      </c>
      <c r="C44" s="18" t="e" vm="43">
        <f t="shared" si="0"/>
        <v>#VALUE!</v>
      </c>
      <c r="D44" s="57">
        <v>500</v>
      </c>
    </row>
    <row r="45" spans="1:4" x14ac:dyDescent="0.25">
      <c r="A45" s="18" t="s">
        <v>65</v>
      </c>
      <c r="B45" s="18" t="s">
        <v>171</v>
      </c>
      <c r="C45" s="18" t="e" vm="44">
        <f t="shared" si="0"/>
        <v>#VALUE!</v>
      </c>
      <c r="D45" s="57">
        <v>500</v>
      </c>
    </row>
    <row r="46" spans="1:4" x14ac:dyDescent="0.25">
      <c r="A46" s="18" t="s">
        <v>28</v>
      </c>
      <c r="B46" s="18" t="s">
        <v>172</v>
      </c>
      <c r="C46" s="18" t="e" vm="45">
        <f t="shared" si="0"/>
        <v>#VALUE!</v>
      </c>
      <c r="D46" s="57">
        <v>500</v>
      </c>
    </row>
    <row r="47" spans="1:4" x14ac:dyDescent="0.25">
      <c r="A47" s="18" t="s">
        <v>80</v>
      </c>
      <c r="B47" s="18" t="s">
        <v>173</v>
      </c>
      <c r="C47" s="18" t="e" vm="46">
        <f t="shared" si="0"/>
        <v>#VALUE!</v>
      </c>
      <c r="D47" s="57">
        <v>500</v>
      </c>
    </row>
    <row r="48" spans="1:4" x14ac:dyDescent="0.25">
      <c r="A48" s="18" t="s">
        <v>49</v>
      </c>
      <c r="B48" s="18" t="s">
        <v>174</v>
      </c>
      <c r="C48" s="18" t="e" vm="47">
        <f t="shared" si="0"/>
        <v>#VALUE!</v>
      </c>
      <c r="D48" s="57">
        <v>750</v>
      </c>
    </row>
    <row r="49" spans="1:4" x14ac:dyDescent="0.25">
      <c r="A49" s="18" t="s">
        <v>40</v>
      </c>
      <c r="B49" s="18" t="s">
        <v>175</v>
      </c>
      <c r="C49" s="18" t="e" vm="48">
        <f t="shared" si="0"/>
        <v>#VALUE!</v>
      </c>
      <c r="D49" s="57">
        <v>750</v>
      </c>
    </row>
  </sheetData>
  <sheetProtection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9C4ED-223F-4A5C-AA9C-B336C42E3D18}">
  <dimension ref="A1:C51"/>
  <sheetViews>
    <sheetView workbookViewId="0">
      <selection activeCell="I46" sqref="I46"/>
    </sheetView>
  </sheetViews>
  <sheetFormatPr defaultRowHeight="15" x14ac:dyDescent="0.25"/>
  <cols>
    <col min="1" max="1" width="19.28515625" bestFit="1" customWidth="1"/>
    <col min="2" max="2" width="13.5703125" bestFit="1" customWidth="1"/>
  </cols>
  <sheetData>
    <row r="1" spans="1:3" x14ac:dyDescent="0.25">
      <c r="A1" t="s">
        <v>176</v>
      </c>
      <c r="B1" t="s">
        <v>177</v>
      </c>
      <c r="C1" t="s">
        <v>178</v>
      </c>
    </row>
    <row r="2" spans="1:3" x14ac:dyDescent="0.25">
      <c r="A2" s="28"/>
      <c r="B2" s="29"/>
      <c r="C2" s="32" t="b">
        <v>0</v>
      </c>
    </row>
    <row r="3" spans="1:3" x14ac:dyDescent="0.25">
      <c r="A3" s="30"/>
      <c r="B3" s="31"/>
      <c r="C3" s="32" t="b">
        <v>0</v>
      </c>
    </row>
    <row r="4" spans="1:3" x14ac:dyDescent="0.25">
      <c r="A4" s="28"/>
      <c r="B4" s="29"/>
      <c r="C4" s="32" t="b">
        <v>0</v>
      </c>
    </row>
    <row r="5" spans="1:3" x14ac:dyDescent="0.25">
      <c r="A5" s="30"/>
      <c r="B5" s="31"/>
      <c r="C5" s="32" t="b">
        <v>0</v>
      </c>
    </row>
    <row r="6" spans="1:3" x14ac:dyDescent="0.25">
      <c r="A6" s="28"/>
      <c r="B6" s="29"/>
      <c r="C6" s="32" t="b">
        <v>0</v>
      </c>
    </row>
    <row r="7" spans="1:3" x14ac:dyDescent="0.25">
      <c r="A7" s="30"/>
      <c r="B7" s="31"/>
      <c r="C7" s="32" t="b">
        <v>0</v>
      </c>
    </row>
    <row r="8" spans="1:3" x14ac:dyDescent="0.25">
      <c r="A8" s="28"/>
      <c r="B8" s="29"/>
      <c r="C8" s="32" t="b">
        <v>0</v>
      </c>
    </row>
    <row r="9" spans="1:3" x14ac:dyDescent="0.25">
      <c r="A9" s="30"/>
      <c r="B9" s="31"/>
      <c r="C9" s="32" t="b">
        <v>0</v>
      </c>
    </row>
    <row r="10" spans="1:3" x14ac:dyDescent="0.25">
      <c r="A10" s="28"/>
      <c r="B10" s="29"/>
      <c r="C10" s="32" t="b">
        <v>0</v>
      </c>
    </row>
    <row r="11" spans="1:3" x14ac:dyDescent="0.25">
      <c r="A11" s="30"/>
      <c r="B11" s="31"/>
      <c r="C11" s="32" t="b">
        <v>0</v>
      </c>
    </row>
    <row r="12" spans="1:3" x14ac:dyDescent="0.25">
      <c r="A12" s="28"/>
      <c r="B12" s="29"/>
      <c r="C12" s="32" t="b">
        <v>0</v>
      </c>
    </row>
    <row r="13" spans="1:3" x14ac:dyDescent="0.25">
      <c r="A13" s="30"/>
      <c r="B13" s="31"/>
      <c r="C13" s="32" t="b">
        <v>0</v>
      </c>
    </row>
    <row r="14" spans="1:3" x14ac:dyDescent="0.25">
      <c r="A14" s="28"/>
      <c r="B14" s="29"/>
      <c r="C14" s="32" t="b">
        <v>0</v>
      </c>
    </row>
    <row r="15" spans="1:3" x14ac:dyDescent="0.25">
      <c r="A15" s="30"/>
      <c r="B15" s="31"/>
      <c r="C15" s="32" t="b">
        <v>0</v>
      </c>
    </row>
    <row r="16" spans="1:3" x14ac:dyDescent="0.25">
      <c r="A16" s="28"/>
      <c r="B16" s="29"/>
      <c r="C16" s="32" t="b">
        <v>0</v>
      </c>
    </row>
    <row r="17" spans="1:3" x14ac:dyDescent="0.25">
      <c r="A17" s="30"/>
      <c r="B17" s="31"/>
      <c r="C17" s="32" t="b">
        <v>0</v>
      </c>
    </row>
    <row r="18" spans="1:3" x14ac:dyDescent="0.25">
      <c r="A18" s="28"/>
      <c r="B18" s="29"/>
      <c r="C18" s="32" t="b">
        <v>0</v>
      </c>
    </row>
    <row r="19" spans="1:3" x14ac:dyDescent="0.25">
      <c r="A19" s="30"/>
      <c r="B19" s="31"/>
      <c r="C19" s="32" t="b">
        <v>0</v>
      </c>
    </row>
    <row r="20" spans="1:3" x14ac:dyDescent="0.25">
      <c r="A20" s="28"/>
      <c r="B20" s="29"/>
      <c r="C20" s="32" t="b">
        <v>0</v>
      </c>
    </row>
    <row r="21" spans="1:3" x14ac:dyDescent="0.25">
      <c r="A21" s="30"/>
      <c r="B21" s="31"/>
      <c r="C21" s="32" t="b">
        <v>0</v>
      </c>
    </row>
    <row r="22" spans="1:3" x14ac:dyDescent="0.25">
      <c r="A22" s="28"/>
      <c r="B22" s="29"/>
      <c r="C22" s="32" t="b">
        <v>0</v>
      </c>
    </row>
    <row r="23" spans="1:3" x14ac:dyDescent="0.25">
      <c r="A23" s="30"/>
      <c r="B23" s="31"/>
      <c r="C23" s="32" t="b">
        <v>0</v>
      </c>
    </row>
    <row r="24" spans="1:3" x14ac:dyDescent="0.25">
      <c r="A24" s="28"/>
      <c r="B24" s="29"/>
      <c r="C24" s="32" t="b">
        <v>0</v>
      </c>
    </row>
    <row r="25" spans="1:3" x14ac:dyDescent="0.25">
      <c r="A25" s="30"/>
      <c r="B25" s="31"/>
      <c r="C25" s="32" t="b">
        <v>0</v>
      </c>
    </row>
    <row r="26" spans="1:3" x14ac:dyDescent="0.25">
      <c r="A26" s="28"/>
      <c r="B26" s="29"/>
      <c r="C26" s="32" t="b">
        <v>0</v>
      </c>
    </row>
    <row r="27" spans="1:3" x14ac:dyDescent="0.25">
      <c r="A27" s="30"/>
      <c r="B27" s="31"/>
      <c r="C27" s="32" t="b">
        <v>0</v>
      </c>
    </row>
    <row r="28" spans="1:3" x14ac:dyDescent="0.25">
      <c r="A28" s="28"/>
      <c r="B28" s="29"/>
      <c r="C28" s="32" t="b">
        <v>0</v>
      </c>
    </row>
    <row r="29" spans="1:3" x14ac:dyDescent="0.25">
      <c r="A29" s="30"/>
      <c r="B29" s="31"/>
      <c r="C29" s="32" t="b">
        <v>0</v>
      </c>
    </row>
    <row r="30" spans="1:3" x14ac:dyDescent="0.25">
      <c r="A30" s="28"/>
      <c r="B30" s="29"/>
      <c r="C30" s="32" t="b">
        <v>0</v>
      </c>
    </row>
    <row r="31" spans="1:3" x14ac:dyDescent="0.25">
      <c r="A31" s="30"/>
      <c r="B31" s="31"/>
      <c r="C31" s="32" t="b">
        <v>0</v>
      </c>
    </row>
    <row r="32" spans="1:3" x14ac:dyDescent="0.25">
      <c r="A32" s="28"/>
      <c r="B32" s="29"/>
      <c r="C32" s="32" t="b">
        <v>0</v>
      </c>
    </row>
    <row r="33" spans="1:3" x14ac:dyDescent="0.25">
      <c r="A33" s="30"/>
      <c r="B33" s="31"/>
      <c r="C33" s="32" t="b">
        <v>0</v>
      </c>
    </row>
    <row r="34" spans="1:3" x14ac:dyDescent="0.25">
      <c r="A34" s="28"/>
      <c r="B34" s="29"/>
      <c r="C34" s="32" t="b">
        <v>0</v>
      </c>
    </row>
    <row r="35" spans="1:3" x14ac:dyDescent="0.25">
      <c r="A35" s="30"/>
      <c r="B35" s="31"/>
      <c r="C35" s="32" t="b">
        <v>0</v>
      </c>
    </row>
    <row r="36" spans="1:3" x14ac:dyDescent="0.25">
      <c r="A36" s="28"/>
      <c r="B36" s="29"/>
      <c r="C36" s="32" t="b">
        <v>0</v>
      </c>
    </row>
    <row r="37" spans="1:3" x14ac:dyDescent="0.25">
      <c r="A37" s="30"/>
      <c r="B37" s="31"/>
      <c r="C37" s="32" t="b">
        <v>0</v>
      </c>
    </row>
    <row r="38" spans="1:3" x14ac:dyDescent="0.25">
      <c r="A38" s="28"/>
      <c r="B38" s="29"/>
      <c r="C38" s="32" t="b">
        <v>0</v>
      </c>
    </row>
    <row r="39" spans="1:3" x14ac:dyDescent="0.25">
      <c r="A39" s="30"/>
      <c r="B39" s="31"/>
      <c r="C39" s="32" t="b">
        <v>0</v>
      </c>
    </row>
    <row r="40" spans="1:3" x14ac:dyDescent="0.25">
      <c r="A40" s="28"/>
      <c r="B40" s="29"/>
      <c r="C40" s="32" t="b">
        <v>0</v>
      </c>
    </row>
    <row r="41" spans="1:3" x14ac:dyDescent="0.25">
      <c r="A41" s="30"/>
      <c r="B41" s="31"/>
      <c r="C41" s="32" t="b">
        <v>0</v>
      </c>
    </row>
    <row r="42" spans="1:3" x14ac:dyDescent="0.25">
      <c r="A42" s="28"/>
      <c r="B42" s="29"/>
      <c r="C42" s="32" t="b">
        <v>0</v>
      </c>
    </row>
    <row r="43" spans="1:3" x14ac:dyDescent="0.25">
      <c r="A43" s="30"/>
      <c r="B43" s="31"/>
      <c r="C43" s="32" t="b">
        <v>0</v>
      </c>
    </row>
    <row r="44" spans="1:3" x14ac:dyDescent="0.25">
      <c r="A44" s="28"/>
      <c r="B44" s="29"/>
      <c r="C44" s="32" t="b">
        <v>0</v>
      </c>
    </row>
    <row r="45" spans="1:3" x14ac:dyDescent="0.25">
      <c r="A45" s="30"/>
      <c r="B45" s="31"/>
      <c r="C45" s="32" t="b">
        <v>0</v>
      </c>
    </row>
    <row r="46" spans="1:3" x14ac:dyDescent="0.25">
      <c r="A46" s="28"/>
      <c r="B46" s="29"/>
      <c r="C46" s="32" t="b">
        <v>0</v>
      </c>
    </row>
    <row r="47" spans="1:3" x14ac:dyDescent="0.25">
      <c r="A47" s="30"/>
      <c r="B47" s="31"/>
      <c r="C47" s="32" t="b">
        <v>0</v>
      </c>
    </row>
    <row r="48" spans="1:3" x14ac:dyDescent="0.25">
      <c r="A48" s="28"/>
      <c r="B48" s="29"/>
      <c r="C48" s="32" t="b">
        <v>0</v>
      </c>
    </row>
    <row r="49" spans="1:3" x14ac:dyDescent="0.25">
      <c r="A49" s="30"/>
      <c r="B49" s="31"/>
      <c r="C49" s="32" t="b">
        <v>0</v>
      </c>
    </row>
    <row r="50" spans="1:3" x14ac:dyDescent="0.25">
      <c r="A50" s="28"/>
      <c r="B50" s="29"/>
      <c r="C50" s="32" t="b">
        <v>0</v>
      </c>
    </row>
    <row r="51" spans="1:3" x14ac:dyDescent="0.25">
      <c r="A51" s="30"/>
      <c r="B51" s="31"/>
      <c r="C51" s="3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Sweepstake Draw</vt:lpstr>
      <vt:lpstr>Group Stage</vt:lpstr>
      <vt:lpstr>Knockouts</vt:lpstr>
      <vt:lpstr>Teams &amp; Odds</vt:lpstr>
      <vt:lpstr>Participants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Bobby Blaney</cp:lastModifiedBy>
  <cp:revision/>
  <dcterms:created xsi:type="dcterms:W3CDTF">2026-05-06T15:36:46Z</dcterms:created>
  <dcterms:modified xsi:type="dcterms:W3CDTF">2026-06-03T13:26:07Z</dcterms:modified>
  <cp:category/>
  <cp:contentStatus/>
</cp:coreProperties>
</file>